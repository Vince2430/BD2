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1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" sheetId="2" state="visible" r:id="rId2"/>
    <sheet xmlns:r="http://schemas.openxmlformats.org/officeDocument/2006/relationships" name="Calendrier" sheetId="3" state="visible" r:id="rId3"/>
  </sheets>
  <definedNames>
    <definedName name="_xlnm._FilterDatabase" localSheetId="1" hidden="1">'Suivi'!$A$5:$H$70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\ %"/>
  </numFmts>
  <fonts count="9"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i val="1"/>
      <color rgb="FF595959"/>
      <sz val="9"/>
    </font>
    <font>
      <name val="Arial"/>
      <family val="2"/>
      <b val="1"/>
      <sz val="10"/>
    </font>
    <font>
      <name val="Arial"/>
      <family val="2"/>
      <color theme="1"/>
      <sz val="11"/>
    </font>
  </fonts>
  <fills count="2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3" tint="0.5999938962981048"/>
        <bgColor rgb="FFFFFFFF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3999755851924192"/>
        <bgColor rgb="FFFFFFFF"/>
      </patternFill>
    </fill>
    <fill>
      <patternFill patternType="solid">
        <fgColor theme="6" tint="0.5999938962981048"/>
        <b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rgb="FFFFFFFF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rgb="FFFFFFFF"/>
      </patternFill>
    </fill>
    <fill>
      <patternFill patternType="solid">
        <fgColor theme="8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vertical="top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vertical="top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vertical="top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top"/>
    </xf>
    <xf numFmtId="0" fontId="4" fillId="13" borderId="1" applyAlignment="1" pivotButton="0" quotePrefix="0" xfId="0">
      <alignment vertical="top"/>
    </xf>
    <xf numFmtId="0" fontId="4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horizontal="center" vertical="top"/>
    </xf>
    <xf numFmtId="0" fontId="4" fillId="14" borderId="1" applyAlignment="1" pivotButton="0" quotePrefix="0" xfId="0">
      <alignment vertical="top"/>
    </xf>
    <xf numFmtId="0" fontId="4" fillId="14" borderId="1" applyAlignment="1" pivotButton="0" quotePrefix="0" xfId="0">
      <alignment vertical="top" wrapText="1"/>
    </xf>
    <xf numFmtId="0" fontId="0" fillId="15" borderId="0" pivotButton="0" quotePrefix="0" xfId="0"/>
    <xf numFmtId="0" fontId="4" fillId="16" borderId="1" applyAlignment="1" pivotButton="0" quotePrefix="0" xfId="0">
      <alignment horizontal="center" vertical="top"/>
    </xf>
    <xf numFmtId="0" fontId="4" fillId="16" borderId="1" applyAlignment="1" pivotButton="0" quotePrefix="0" xfId="0">
      <alignment vertical="top"/>
    </xf>
    <xf numFmtId="0" fontId="4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horizontal="center" vertical="top"/>
    </xf>
    <xf numFmtId="0" fontId="4" fillId="17" borderId="1" applyAlignment="1" pivotButton="0" quotePrefix="0" xfId="0">
      <alignment vertical="top"/>
    </xf>
    <xf numFmtId="0" fontId="4" fillId="17" borderId="1" applyAlignment="1" pivotButton="0" quotePrefix="0" xfId="0">
      <alignment vertical="top" wrapText="1"/>
    </xf>
    <xf numFmtId="0" fontId="4" fillId="18" borderId="1" applyAlignment="1" pivotButton="0" quotePrefix="0" xfId="0">
      <alignment horizontal="center" vertical="top"/>
    </xf>
    <xf numFmtId="0" fontId="4" fillId="18" borderId="1" applyAlignment="1" pivotButton="0" quotePrefix="0" xfId="0">
      <alignment vertical="top"/>
    </xf>
    <xf numFmtId="0" fontId="4" fillId="18" borderId="1" applyAlignment="1" pivotButton="0" quotePrefix="0" xfId="0">
      <alignment vertical="top" wrapText="1"/>
    </xf>
    <xf numFmtId="0" fontId="8" fillId="19" borderId="1" applyAlignment="1" pivotButton="0" quotePrefix="0" xfId="0">
      <alignment horizontal="center" vertical="top"/>
    </xf>
    <xf numFmtId="0" fontId="8" fillId="19" borderId="1" applyAlignment="1" pivotButton="0" quotePrefix="0" xfId="0">
      <alignment vertical="top"/>
    </xf>
    <xf numFmtId="0" fontId="8" fillId="19" borderId="1" applyAlignment="1" pivotButton="0" quotePrefix="0" xfId="0">
      <alignment vertical="top" wrapText="1"/>
    </xf>
    <xf numFmtId="0" fontId="4" fillId="20" borderId="1" applyAlignment="1" pivotButton="0" quotePrefix="0" xfId="0">
      <alignment horizontal="center" vertical="top"/>
    </xf>
    <xf numFmtId="0" fontId="4" fillId="20" borderId="1" applyAlignment="1" pivotButton="0" quotePrefix="0" xfId="0">
      <alignment vertical="top"/>
    </xf>
    <xf numFmtId="0" fontId="4" fillId="20" borderId="1" applyAlignment="1" pivotButton="0" quotePrefix="0" xfId="0">
      <alignment vertical="top" wrapText="1"/>
    </xf>
    <xf numFmtId="0" fontId="4" fillId="21" borderId="1" applyAlignment="1" pivotButton="0" quotePrefix="0" xfId="0">
      <alignment horizontal="center" vertical="top"/>
    </xf>
    <xf numFmtId="0" fontId="4" fillId="21" borderId="1" applyAlignment="1" pivotButton="0" quotePrefix="0" xfId="0">
      <alignment vertical="top"/>
    </xf>
    <xf numFmtId="0" fontId="4" fillId="21" borderId="1" applyAlignment="1" pivotButton="0" quotePrefix="0" xfId="0">
      <alignment vertical="top" wrapText="1"/>
    </xf>
  </cellXfs>
  <cellStyles count="1">
    <cellStyle name="Normal" xfId="0" builtinId="0"/>
  </cellStyles>
  <dxfs count="3">
    <dxf>
      <font>
        <name val="Arial"/>
        <charset val="1"/>
        <color rgb="FF9C0006"/>
      </font>
      <fill>
        <patternFill>
          <bgColor rgb="FFFFC7CE"/>
        </patternFill>
      </fill>
    </dxf>
    <dxf>
      <font>
        <name val="Arial"/>
        <charset val="1"/>
        <color rgb="FF9C5700"/>
      </font>
      <fill>
        <patternFill>
          <bgColor rgb="FFFFEB9C"/>
        </patternFill>
      </fill>
    </dxf>
    <dxf>
      <font>
        <name val="Arial"/>
        <charset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Normal="100" workbookViewId="0">
      <selection activeCell="A1" sqref="A1"/>
    </sheetView>
  </sheetViews>
  <sheetFormatPr baseColWidth="10" defaultColWidth="8.6640625" defaultRowHeight="15"/>
  <cols>
    <col width="30" customWidth="1" min="1" max="1"/>
    <col width="9" customWidth="1" min="2" max="4"/>
    <col width="10" customWidth="1" min="5" max="5"/>
    <col width="9" customWidth="1" min="6" max="6"/>
    <col width="13" customWidth="1" min="7" max="7"/>
  </cols>
  <sheetData>
    <row r="1" ht="17.25" customHeight="1">
      <c r="A1" s="1" t="inlineStr">
        <is>
          <t>Tableau de bord – avancement du TP1</t>
        </is>
      </c>
    </row>
    <row r="2" ht="15" customHeight="1">
      <c r="A2" s="2" t="inlineStr">
        <is>
          <t>Tout se met à jour automatiquement quand vous changez un statut dans l'onglet Suivi.</t>
        </is>
      </c>
    </row>
    <row r="4" ht="15" customHeight="1">
      <c r="A4" s="3" t="inlineStr">
        <is>
          <t>Étape</t>
        </is>
      </c>
      <c r="B4" s="3" t="inlineStr">
        <is>
          <t>Points</t>
        </is>
      </c>
      <c r="C4" s="3" t="inlineStr">
        <is>
          <t>Tâches</t>
        </is>
      </c>
      <c r="D4" s="3" t="inlineStr">
        <is>
          <t>Faites</t>
        </is>
      </c>
      <c r="E4" s="3" t="inlineStr">
        <is>
          <t>En cours</t>
        </is>
      </c>
      <c r="F4" s="3" t="inlineStr">
        <is>
          <t>À faire</t>
        </is>
      </c>
      <c r="G4" s="3" t="inlineStr">
        <is>
          <t>Avancement</t>
        </is>
      </c>
    </row>
    <row r="5" ht="15" customHeight="1">
      <c r="A5" s="4" t="inlineStr">
        <is>
          <t>1. Analyse et conception</t>
        </is>
      </c>
      <c r="B5" s="5" t="n">
        <v>15</v>
      </c>
      <c r="C5" s="5">
        <f>COUNTIF(Suivi!$A$6:$A$70,"E1")</f>
        <v/>
      </c>
      <c r="D5" s="5">
        <f>COUNTIFS(Suivi!$A$6:$A$70,"E1",Suivi!$F$6:$F$70,"Fait")</f>
        <v/>
      </c>
      <c r="E5" s="5">
        <f>COUNTIFS(Suivi!$A$6:$A$70,"E1",Suivi!$F$6:$F$70,"En cours")</f>
        <v/>
      </c>
      <c r="F5" s="5">
        <f>COUNTIFS(Suivi!$A$6:$A$70,"E1",Suivi!$F$6:$F$70,"À faire")</f>
        <v/>
      </c>
      <c r="G5" s="6">
        <f>IFERROR(D5/C5,0)</f>
        <v/>
      </c>
    </row>
    <row r="6" ht="15" customHeight="1">
      <c r="A6" s="4" t="inlineStr">
        <is>
          <t>2. Implémentation et JSONB</t>
        </is>
      </c>
      <c r="B6" s="5" t="n">
        <v>20</v>
      </c>
      <c r="C6" s="5">
        <f>COUNTIF(Suivi!$A$6:$A$70,"E2")</f>
        <v/>
      </c>
      <c r="D6" s="5">
        <f>COUNTIFS(Suivi!$A$6:$A$70,"E2",Suivi!$F$6:$F$70,"Fait")</f>
        <v/>
      </c>
      <c r="E6" s="5">
        <f>COUNTIFS(Suivi!$A$6:$A$70,"E2",Suivi!$F$6:$F$70,"En cours")</f>
        <v/>
      </c>
      <c r="F6" s="5">
        <f>COUNTIFS(Suivi!$A$6:$A$70,"E2",Suivi!$F$6:$F$70,"À faire")</f>
        <v/>
      </c>
      <c r="G6" s="6">
        <f>IFERROR(D6/C6,0)</f>
        <v/>
      </c>
    </row>
    <row r="7" ht="15" customHeight="1">
      <c r="A7" s="4" t="inlineStr">
        <is>
          <t>3. Fonctions avancées</t>
        </is>
      </c>
      <c r="B7" s="5" t="n">
        <v>20</v>
      </c>
      <c r="C7" s="5">
        <f>COUNTIF(Suivi!$A$6:$A$70,"E3")</f>
        <v/>
      </c>
      <c r="D7" s="5">
        <f>COUNTIFS(Suivi!$A$6:$A$70,"E3",Suivi!$F$6:$F$70,"Fait")</f>
        <v/>
      </c>
      <c r="E7" s="5">
        <f>COUNTIFS(Suivi!$A$6:$A$70,"E3",Suivi!$F$6:$F$70,"En cours")</f>
        <v/>
      </c>
      <c r="F7" s="5">
        <f>COUNTIFS(Suivi!$A$6:$A$70,"E3",Suivi!$F$6:$F$70,"À faire")</f>
        <v/>
      </c>
      <c r="G7" s="6">
        <f>IFERROR(D7/C7,0)</f>
        <v/>
      </c>
    </row>
    <row r="8" ht="15" customHeight="1">
      <c r="A8" s="4" t="inlineStr">
        <is>
          <t>4. Requêtes et performance</t>
        </is>
      </c>
      <c r="B8" s="5" t="n">
        <v>20</v>
      </c>
      <c r="C8" s="5">
        <f>COUNTIF(Suivi!$A$6:$A$70,"E4")</f>
        <v/>
      </c>
      <c r="D8" s="5">
        <f>COUNTIFS(Suivi!$A$6:$A$70,"E4",Suivi!$F$6:$F$70,"Fait")</f>
        <v/>
      </c>
      <c r="E8" s="5">
        <f>COUNTIFS(Suivi!$A$6:$A$70,"E4",Suivi!$F$6:$F$70,"En cours")</f>
        <v/>
      </c>
      <c r="F8" s="5">
        <f>COUNTIFS(Suivi!$A$6:$A$70,"E4",Suivi!$F$6:$F$70,"À faire")</f>
        <v/>
      </c>
      <c r="G8" s="6">
        <f>IFERROR(D8/C8,0)</f>
        <v/>
      </c>
    </row>
    <row r="9" ht="15" customHeight="1">
      <c r="A9" s="4" t="inlineStr">
        <is>
          <t>5. Application cliente</t>
        </is>
      </c>
      <c r="B9" s="5" t="n">
        <v>10</v>
      </c>
      <c r="C9" s="5">
        <f>COUNTIF(Suivi!$A$6:$A$70,"E5")</f>
        <v/>
      </c>
      <c r="D9" s="5">
        <f>COUNTIFS(Suivi!$A$6:$A$70,"E5",Suivi!$F$6:$F$70,"Fait")</f>
        <v/>
      </c>
      <c r="E9" s="5">
        <f>COUNTIFS(Suivi!$A$6:$A$70,"E5",Suivi!$F$6:$F$70,"En cours")</f>
        <v/>
      </c>
      <c r="F9" s="5">
        <f>COUNTIFS(Suivi!$A$6:$A$70,"E5",Suivi!$F$6:$F$70,"À faire")</f>
        <v/>
      </c>
      <c r="G9" s="6">
        <f>IFERROR(D9/C9,0)</f>
        <v/>
      </c>
    </row>
    <row r="10" ht="15" customHeight="1">
      <c r="A10" s="4" t="inlineStr">
        <is>
          <t>6. Tests et reproductibilité</t>
        </is>
      </c>
      <c r="B10" s="5" t="n"/>
      <c r="C10" s="5">
        <f>COUNTIF(Suivi!$A$6:$A$70,"E6")</f>
        <v/>
      </c>
      <c r="D10" s="5">
        <f>COUNTIFS(Suivi!$A$6:$A$70,"E6",Suivi!$F$6:$F$70,"Fait")</f>
        <v/>
      </c>
      <c r="E10" s="5">
        <f>COUNTIFS(Suivi!$A$6:$A$70,"E6",Suivi!$F$6:$F$70,"En cours")</f>
        <v/>
      </c>
      <c r="F10" s="5">
        <f>COUNTIFS(Suivi!$A$6:$A$70,"E6",Suivi!$F$6:$F$70,"À faire")</f>
        <v/>
      </c>
      <c r="G10" s="6">
        <f>IFERROR(D10/C10,0)</f>
        <v/>
      </c>
    </row>
    <row r="11" ht="15" customHeight="1">
      <c r="A11" s="4" t="inlineStr">
        <is>
          <t>7. Base de connaissances</t>
        </is>
      </c>
      <c r="B11" s="5" t="n">
        <v>10</v>
      </c>
      <c r="C11" s="5">
        <f>COUNTIF(Suivi!$A$6:$A$70,"E7")</f>
        <v/>
      </c>
      <c r="D11" s="5">
        <f>COUNTIFS(Suivi!$A$6:$A$70,"E7",Suivi!$F$6:$F$70,"Fait")</f>
        <v/>
      </c>
      <c r="E11" s="5">
        <f>COUNTIFS(Suivi!$A$6:$A$70,"E7",Suivi!$F$6:$F$70,"En cours")</f>
        <v/>
      </c>
      <c r="F11" s="5">
        <f>COUNTIFS(Suivi!$A$6:$A$70,"E7",Suivi!$F$6:$F$70,"À faire")</f>
        <v/>
      </c>
      <c r="G11" s="6">
        <f>IFERROR(D11/C11,0)</f>
        <v/>
      </c>
    </row>
    <row r="12" ht="15" customHeight="1">
      <c r="A12" s="4" t="inlineStr">
        <is>
          <t>8. Qualité de la remise</t>
        </is>
      </c>
      <c r="B12" s="5" t="n">
        <v>5</v>
      </c>
      <c r="C12" s="5">
        <f>COUNTIF(Suivi!$A$6:$A$70,"E8")</f>
        <v/>
      </c>
      <c r="D12" s="5">
        <f>COUNTIFS(Suivi!$A$6:$A$70,"E8",Suivi!$F$6:$F$70,"Fait")</f>
        <v/>
      </c>
      <c r="E12" s="5">
        <f>COUNTIFS(Suivi!$A$6:$A$70,"E8",Suivi!$F$6:$F$70,"En cours")</f>
        <v/>
      </c>
      <c r="F12" s="5">
        <f>COUNTIFS(Suivi!$A$6:$A$70,"E8",Suivi!$F$6:$F$70,"À faire")</f>
        <v/>
      </c>
      <c r="G12" s="6">
        <f>IFERROR(D12/C12,0)</f>
        <v/>
      </c>
    </row>
    <row r="13" ht="15" customHeight="1">
      <c r="A13" s="7" t="inlineStr">
        <is>
          <t>TOTAL</t>
        </is>
      </c>
      <c r="B13" s="8">
        <f>SUM(B5:B12)</f>
        <v/>
      </c>
      <c r="C13" s="8">
        <f>SUM(C5:C12)</f>
        <v/>
      </c>
      <c r="D13" s="8">
        <f>SUM(D5:D12)</f>
        <v/>
      </c>
      <c r="E13" s="8">
        <f>SUM(E5:E12)</f>
        <v/>
      </c>
      <c r="F13" s="8">
        <f>SUM(F5:F12)</f>
        <v/>
      </c>
      <c r="G13" s="9">
        <f>IFERROR(D13/C13,0)</f>
        <v/>
      </c>
    </row>
    <row r="15" ht="15" customHeight="1">
      <c r="A15" s="10" t="inlineStr">
        <is>
          <t>Note : la colonne Points reprend la pondération de la grille d'évaluation de l'énoncé (total 100). L'étape 6 (tests et reproductibilité) n'a pas de points propres : elle est évaluée à travers « Qualité de la remise ».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tabSelected="1" zoomScaleNormal="100" workbookViewId="0">
      <pane ySplit="5" topLeftCell="A27" activePane="bottomLeft" state="frozen"/>
      <selection pane="bottomLeft" activeCell="G13" sqref="G13"/>
    </sheetView>
  </sheetViews>
  <sheetFormatPr baseColWidth="10" defaultColWidth="8.6640625" defaultRowHeight="15"/>
  <cols>
    <col width="8" customWidth="1" min="1" max="1"/>
    <col width="26" customWidth="1" min="2" max="2"/>
    <col width="6" customWidth="1" min="3" max="3"/>
    <col width="13" customWidth="1" min="4" max="4"/>
    <col width="62" customWidth="1" min="5" max="5"/>
    <col width="12" customWidth="1" min="6" max="6"/>
    <col width="58" customWidth="1" min="7" max="7"/>
    <col width="22" customWidth="1" min="8" max="8"/>
  </cols>
  <sheetData>
    <row r="1" ht="17.25" customHeight="1">
      <c r="A1" s="1" t="inlineStr">
        <is>
          <t>TP1 – Base de données II (420-B56) – Suivi des tâches</t>
        </is>
      </c>
    </row>
    <row r="2" ht="15" customHeight="1">
      <c r="A2" s="2" t="inlineStr">
        <is>
          <t>Base tp1_vincent_trudel · schéma commerce · cible de fin : 25 septembre 2026 (remise officielle : 16 octobre 2026)</t>
        </is>
      </c>
    </row>
    <row r="3" ht="15" customHeight="1">
      <c r="A3" s="2" t="inlineStr">
        <is>
          <t>Mode d'emploi : ne modifiez que la colonne Statut (menu déroulant : À faire / En cours / Fait / Sans objet). Le reste se calcule tout seul dans l'onglet Tableau de bord.</t>
        </is>
      </c>
    </row>
    <row r="5" ht="15" customHeight="1">
      <c r="A5" s="3" t="inlineStr">
        <is>
          <t>Code</t>
        </is>
      </c>
      <c r="B5" s="3" t="inlineStr">
        <is>
          <t>Étape</t>
        </is>
      </c>
      <c r="C5" s="3" t="inlineStr">
        <is>
          <t>Pts</t>
        </is>
      </c>
      <c r="D5" s="3" t="inlineStr">
        <is>
          <t>Jour prévu</t>
        </is>
      </c>
      <c r="E5" s="3" t="inlineStr">
        <is>
          <t>Tâche</t>
        </is>
      </c>
      <c r="F5" s="3" t="inlineStr">
        <is>
          <t>Statut</t>
        </is>
      </c>
      <c r="G5" s="3" t="inlineStr">
        <is>
          <t>Notes</t>
        </is>
      </c>
      <c r="H5" s="3" t="inlineStr">
        <is>
          <t>Type de décision</t>
        </is>
      </c>
    </row>
    <row r="6" ht="15.25" customHeight="1">
      <c r="A6" s="18" t="inlineStr">
        <is>
          <t>E1</t>
        </is>
      </c>
      <c r="B6" s="19" t="inlineStr">
        <is>
          <t>1. Analyse et conception</t>
        </is>
      </c>
      <c r="C6" s="18" t="n">
        <v>15</v>
      </c>
      <c r="D6" s="19" t="inlineStr">
        <is>
          <t>17-18 sept</t>
        </is>
      </c>
      <c r="E6" s="20" t="inlineStr">
        <is>
          <t>Décrire le besoin et les utilisateurs visés</t>
        </is>
      </c>
      <c r="F6" s="18" t="inlineStr">
        <is>
          <t>Fait</t>
        </is>
      </c>
      <c r="G6" s="20" t="n"/>
      <c r="H6" s="20" t="n"/>
    </row>
    <row r="7" ht="56" customHeight="1">
      <c r="A7" s="24" t="inlineStr">
        <is>
          <t>E1</t>
        </is>
      </c>
      <c r="B7" s="25" t="inlineStr">
        <is>
          <t>1. Analyse et conception</t>
        </is>
      </c>
      <c r="C7" s="24" t="n">
        <v>15</v>
      </c>
      <c r="D7" s="25" t="inlineStr">
        <is>
          <t>17-18 sept</t>
        </is>
      </c>
      <c r="E7" s="26" t="inlineStr">
        <is>
          <t>Rédiger 5 règles métier VÉRIFIABLES</t>
        </is>
      </c>
      <c r="F7" s="24" t="inlineStr">
        <is>
          <t>Fait</t>
        </is>
      </c>
      <c r="G7" s="26" t="inlineStr">
        <is>
          <t>Tableau dans Doc/Analyse et Conception.docx (18 sept) : stock, évaluation, expédition ≤ commandé, réception validée figée, stock augmenté à la validation. Chacune avec son déclencheur. 19 sept : 3 règles ajoutées (annulation) : commande jamais supprimée (annulée à la place); annulation permise seulement avant l'expédition (En attente, Payée, En préparation); commande annulée figée + stock rendu à l'annulation. À ajouter au tableau du docx. 22 sept : nouvelle règle à ajouter au docx — cycle de vie des statuts (ordre imposé; Payée exige un paiement complété couvrant le total; Expédiée/Livrée exigent expéditions couvrantes/complétées).</t>
        </is>
      </c>
      <c r="H7" s="26" t="inlineStr">
        <is>
          <t>Règle métier – déclencheur</t>
        </is>
      </c>
    </row>
    <row r="8" ht="41.5" customHeight="1">
      <c r="A8" s="18" t="inlineStr">
        <is>
          <t>E1</t>
        </is>
      </c>
      <c r="B8" s="19" t="inlineStr">
        <is>
          <t>1. Analyse et conception</t>
        </is>
      </c>
      <c r="C8" s="18" t="n">
        <v>15</v>
      </c>
      <c r="D8" s="19" t="inlineStr">
        <is>
          <t>17-18 sept</t>
        </is>
      </c>
      <c r="E8" s="20" t="inlineStr">
        <is>
          <t>Trancher : quelle colonne JSONB</t>
        </is>
      </c>
      <c r="F8" s="18" t="inlineStr">
        <is>
          <t>Fait</t>
        </is>
      </c>
      <c r="G8" s="20" t="inlineStr">
        <is>
          <t>Table séparée specification_produit (1-1 avec produit, UNIQUE id_produit, ON DELETE CASCADE). Forme du document encore à définir.</t>
        </is>
      </c>
      <c r="H8" s="20" t="inlineStr">
        <is>
          <t>Conception – JSONB</t>
        </is>
      </c>
    </row>
    <row r="9" ht="41.5" customHeight="1">
      <c r="A9" s="24" t="inlineStr">
        <is>
          <t>E1</t>
        </is>
      </c>
      <c r="B9" s="25" t="inlineStr">
        <is>
          <t>1. Analyse et conception</t>
        </is>
      </c>
      <c r="C9" s="24" t="n">
        <v>15</v>
      </c>
      <c r="D9" s="25" t="inlineStr">
        <is>
          <t>17-18 sept</t>
        </is>
      </c>
      <c r="E9" s="26" t="inlineStr">
        <is>
          <t>Trancher : réception de marchandise (UPDATE applicatif ou table reception)</t>
        </is>
      </c>
      <c r="F9" s="24" t="inlineStr">
        <is>
          <t>Fait</t>
        </is>
      </c>
      <c r="G9" s="26" t="inlineStr">
        <is>
          <t>Tables reception + info_reception. Créée attendue, validée via est_complete; déclencheur ajoute au stock. Validée = figée (BEFORE UPDATE/DELETE). Pas de champ archivé.</t>
        </is>
      </c>
      <c r="H9" s="26" t="inlineStr">
        <is>
          <t>Conception – schéma</t>
        </is>
      </c>
    </row>
    <row r="10" ht="41.5" customHeight="1">
      <c r="A10" s="18" t="inlineStr">
        <is>
          <t>E1</t>
        </is>
      </c>
      <c r="B10" s="19" t="inlineStr">
        <is>
          <t>1. Analyse et conception</t>
        </is>
      </c>
      <c r="C10" s="18" t="n">
        <v>15</v>
      </c>
      <c r="D10" s="19" t="inlineStr">
        <is>
          <t>17-18 sept</t>
        </is>
      </c>
      <c r="E10" s="20" t="inlineStr">
        <is>
          <t>Trancher : sujet du déclencheur d'audit</t>
        </is>
      </c>
      <c r="F10" s="18" t="inlineStr">
        <is>
          <t>Fait</t>
        </is>
      </c>
      <c r="G10" s="20" t="inlineStr">
        <is>
          <t>Changement de statut d'une commande (INSERT, UPDATE réel de id_statut, DELETE). Table spécifique sans FK, noms de statuts, current_user. Audit des réceptions écarté (peu de valeur).</t>
        </is>
      </c>
      <c r="H10" s="20" t="inlineStr">
        <is>
          <t>Conception – audit</t>
        </is>
      </c>
    </row>
    <row r="11" ht="15.25" customHeight="1">
      <c r="A11" s="21" t="inlineStr">
        <is>
          <t>E1</t>
        </is>
      </c>
      <c r="B11" s="22" t="inlineStr">
        <is>
          <t>1. Analyse et conception</t>
        </is>
      </c>
      <c r="C11" s="21" t="n">
        <v>15</v>
      </c>
      <c r="D11" s="22" t="inlineStr">
        <is>
          <t>17-18 sept</t>
        </is>
      </c>
      <c r="E11" s="23" t="inlineStr">
        <is>
          <t>Corriger le commentaire de produit dans 01_create_schema.sql</t>
        </is>
      </c>
      <c r="F11" s="21" t="inlineStr">
        <is>
          <t>Fait</t>
        </is>
      </c>
      <c r="G11" s="23" t="inlineStr">
        <is>
          <t>Commentaire corrigé : stock réel vs quantité prévisionnelle.</t>
        </is>
      </c>
      <c r="H11" s="23" t="inlineStr">
        <is>
          <t>Documentation</t>
        </is>
      </c>
    </row>
    <row r="12" ht="54.75" customHeight="1">
      <c r="A12" s="27" t="inlineStr">
        <is>
          <t>E1</t>
        </is>
      </c>
      <c r="B12" s="28" t="inlineStr">
        <is>
          <t>1. Analyse et conception</t>
        </is>
      </c>
      <c r="C12" s="27" t="n">
        <v>15</v>
      </c>
      <c r="D12" s="28" t="inlineStr">
        <is>
          <t>17-18 sept</t>
        </is>
      </c>
      <c r="E12" s="29" t="inlineStr">
        <is>
          <t>Trancher : info_expedition — UNIQUE (id_info_commande) pour « une ligne dans un seul colis »</t>
        </is>
      </c>
      <c r="F12" s="27" t="inlineStr">
        <is>
          <t>Fait</t>
        </is>
      </c>
      <c r="G12" s="29" t="inlineStr">
        <is>
          <t>Option 3 : une ligne peut être répartie sur plusieurs colis. quantite_expediee dans info_expedition + trg_valider_quantite_expediee et trg_proteger_quantite_commandee (validés le 18 sept).</t>
        </is>
      </c>
      <c r="H12" s="29" t="inlineStr">
        <is>
          <t>Conception – schéma</t>
        </is>
      </c>
    </row>
    <row r="13" ht="28.5" customHeight="1">
      <c r="A13" s="18" t="inlineStr">
        <is>
          <t>E1</t>
        </is>
      </c>
      <c r="B13" s="19" t="inlineStr">
        <is>
          <t>1. Analyse et conception</t>
        </is>
      </c>
      <c r="C13" s="18" t="n">
        <v>15</v>
      </c>
      <c r="D13" s="19" t="inlineStr">
        <is>
          <t>17-18 sept</t>
        </is>
      </c>
      <c r="E13" s="20" t="inlineStr">
        <is>
          <t>Trancher : booléen est_complete ou date seule (paiement, expedition, reception)</t>
        </is>
      </c>
      <c r="F13" s="18" t="inlineStr">
        <is>
          <t>Fait</t>
        </is>
      </c>
      <c r="G13" s="20" t="inlineStr">
        <is>
          <t>Booléen conservé partout, avec CHECK de cohérence. Redondance à justifier une fois dans la section 3FN.</t>
        </is>
      </c>
      <c r="H13" s="20" t="inlineStr">
        <is>
          <t>Conception – 3FN</t>
        </is>
      </c>
    </row>
    <row r="14" ht="28.5" customHeight="1">
      <c r="A14" s="27" t="inlineStr">
        <is>
          <t>E1</t>
        </is>
      </c>
      <c r="B14" s="28" t="inlineStr">
        <is>
          <t>1. Analyse et conception</t>
        </is>
      </c>
      <c r="C14" s="27" t="n">
        <v>15</v>
      </c>
      <c r="D14" s="28" t="inlineStr">
        <is>
          <t>17-18 sept</t>
        </is>
      </c>
      <c r="E14" s="29" t="inlineStr">
        <is>
          <t>Trancher : nomenclature (snake_case ou camelCase)</t>
        </is>
      </c>
      <c r="F14" s="27" t="inlineStr">
        <is>
          <t>Fait</t>
        </is>
      </c>
      <c r="G14" s="29" t="inlineStr">
        <is>
          <t>snake_case conservé (minuscules, sans accent; FK du même nom que la PK). Le camelCase exigerait des guillemets partout.</t>
        </is>
      </c>
      <c r="H14" s="29" t="inlineStr">
        <is>
          <t>Nomenclature</t>
        </is>
      </c>
    </row>
    <row r="15" ht="54.75" customHeight="1">
      <c r="A15" s="18" t="inlineStr">
        <is>
          <t>E1</t>
        </is>
      </c>
      <c r="B15" s="19" t="inlineStr">
        <is>
          <t>1. Analyse et conception</t>
        </is>
      </c>
      <c r="C15" s="18" t="n">
        <v>15</v>
      </c>
      <c r="D15" s="19" t="inlineStr">
        <is>
          <t>17-18 sept</t>
        </is>
      </c>
      <c r="E15" s="20" t="inlineStr">
        <is>
          <t>Diagramme ER : ≥ 8 entités, cardinalités, attributs (outil ERD de pgAdmin 4)</t>
        </is>
      </c>
      <c r="F15" s="18" t="inlineStr">
        <is>
          <t>En cours</t>
        </is>
      </c>
      <c r="G15" s="20" t="inlineStr">
        <is>
          <t>À refaire : il manque audit_statut_commande (14e table) et quantite_expediee dans info_expedition. Refaire le .pgerd + captures (l'export Download image n'affiche pas les liens). 19 sept : FK info_commande → commande n'a plus ON DELETE CASCADE.</t>
        </is>
      </c>
      <c r="H15" s="20" t="inlineStr">
        <is>
          <t>Livrable</t>
        </is>
      </c>
    </row>
    <row r="16" ht="54.75" customHeight="1">
      <c r="A16" s="24" t="inlineStr">
        <is>
          <t>E1</t>
        </is>
      </c>
      <c r="B16" s="25" t="inlineStr">
        <is>
          <t>1. Analyse et conception</t>
        </is>
      </c>
      <c r="C16" s="24" t="n">
        <v>15</v>
      </c>
      <c r="D16" s="25" t="inlineStr">
        <is>
          <t>17-18 sept</t>
        </is>
      </c>
      <c r="E16" s="26" t="inlineStr">
        <is>
          <t>Schéma relationnel + démonstration de la 3FN</t>
        </is>
      </c>
      <c r="F16" s="24" t="inlineStr">
        <is>
          <t>Fait</t>
        </is>
      </c>
      <c r="G16" s="26" t="inlineStr">
        <is>
          <t>Doc/Schema_relationnel_3FN.docx : 14 relations, 1FN/2FN/3FN, DF par table, valeurs figées, dénormalisations (quantite_totale_produit, est_complete), audit sans FK, répartition d'une ligne sur plusieurs colis. 19 sept : à mettre à jour — FK info_commande.id_commande sans ON DELETE CASCADE (une commande n'est jamais supprimée).</t>
        </is>
      </c>
      <c r="H16" s="26" t="inlineStr">
        <is>
          <t>Conception – 3FN</t>
        </is>
      </c>
    </row>
    <row r="17" ht="41.5" customHeight="1">
      <c r="A17" s="18" t="inlineStr">
        <is>
          <t>E1</t>
        </is>
      </c>
      <c r="B17" s="19" t="inlineStr">
        <is>
          <t>1. Analyse et conception</t>
        </is>
      </c>
      <c r="C17" s="18" t="n">
        <v>15</v>
      </c>
      <c r="D17" s="19" t="inlineStr">
        <is>
          <t>17-18 sept</t>
        </is>
      </c>
      <c r="E17" s="20" t="inlineStr">
        <is>
          <t>Dictionnaire de données : type, obligation, défaut, validation</t>
        </is>
      </c>
      <c r="F17" s="18" t="inlineStr">
        <is>
          <t>Fait</t>
        </is>
      </c>
      <c r="G17" s="20" t="inlineStr">
        <is>
          <t>Doc/Dictionnaire_donnees.docx : 14 tables + structure JSONB (à jour au 18 sept, quantite_expediee incluse). Relecture finale à l'étape 8. 19 sept : à mettre à jour — FK info_commande.id_commande sans cascade; valeurs de statut (6); nouvelles règles d'annulation. 25 sept : à mettre à jour — clés JSONB toutes facultatives (absente = sans objet, null = valeur inconnue).</t>
        </is>
      </c>
      <c r="H17" s="20" t="n"/>
    </row>
    <row r="18" ht="68" customHeight="1">
      <c r="A18" s="24" t="inlineStr">
        <is>
          <t>E1</t>
        </is>
      </c>
      <c r="B18" s="25" t="inlineStr">
        <is>
          <t>1. Analyse et conception</t>
        </is>
      </c>
      <c r="C18" s="24" t="n">
        <v>15</v>
      </c>
      <c r="D18" s="25" t="inlineStr">
        <is>
          <t>17-18 sept</t>
        </is>
      </c>
      <c r="E18" s="26" t="inlineStr">
        <is>
          <t>Justifier le choix JSONB (variabilité ou structure imbriquée)</t>
        </is>
      </c>
      <c r="F18" s="24" t="inlineStr">
        <is>
          <t>Fait</t>
        </is>
      </c>
      <c r="G18" s="26" t="inlineStr">
        <is>
          <t>Rédigée le 18 sept (au « je ») : variabilité selon la catégorie, alternatives écartées (table par catégorie, champ par spécification), structure imbriquée, CHECK du noyau. À coller dans Analyse et Conception.docx. Le détail des CHECK et du GIN est dans le dictionnaire. 25 sept : à mettre à jour — plus aucune clé obligatoire, prévu d'avance pour de futurs prototypes / objets de collection (marque ou garantie parfois inconnues).</t>
        </is>
      </c>
      <c r="H18" s="26" t="inlineStr">
        <is>
          <t>Conception – JSONB</t>
        </is>
      </c>
    </row>
    <row r="19" ht="28.5" customHeight="1">
      <c r="A19" s="30" t="inlineStr">
        <is>
          <t>E2</t>
        </is>
      </c>
      <c r="B19" s="31" t="inlineStr">
        <is>
          <t>2. Implémentation et JSONB</t>
        </is>
      </c>
      <c r="C19" s="30" t="n">
        <v>20</v>
      </c>
      <c r="D19" s="31" t="inlineStr">
        <is>
          <t>19 sept</t>
        </is>
      </c>
      <c r="E19" s="32" t="inlineStr">
        <is>
          <t>Tables, PK, FK, NOT NULL, UNIQUE, CHECK, DEFAULT</t>
        </is>
      </c>
      <c r="F19" s="30" t="inlineStr">
        <is>
          <t>Fait</t>
        </is>
      </c>
      <c r="G19" s="32" t="inlineStr">
        <is>
          <t>14 tables validées sur PostgreSQL 16 (18 sept, creer_bd.command sans erreur).</t>
        </is>
      </c>
      <c r="H19" s="32" t="inlineStr">
        <is>
          <t>Conception – schéma</t>
        </is>
      </c>
    </row>
    <row r="20" ht="41.5" customHeight="1">
      <c r="A20" s="33" t="inlineStr">
        <is>
          <t>E2</t>
        </is>
      </c>
      <c r="B20" s="34" t="inlineStr">
        <is>
          <t>2. Implémentation et JSONB</t>
        </is>
      </c>
      <c r="C20" s="33" t="n">
        <v>20</v>
      </c>
      <c r="D20" s="34" t="inlineStr">
        <is>
          <t>19 sept</t>
        </is>
      </c>
      <c r="E20" s="35" t="inlineStr">
        <is>
          <t>Ajouter ≥ 1 colonne JSONB (objet imbriqué ou tableau)</t>
        </is>
      </c>
      <c r="F20" s="33" t="inlineStr">
        <is>
          <t>Fait</t>
        </is>
      </c>
      <c r="G20" s="35" t="inlineStr">
        <is>
          <t>JSONB dans specification_produit : objet imbriqué (dimensions, ecran, materiel) + tableau (connectivite). Création validée le 18 sept.</t>
        </is>
      </c>
      <c r="H20" s="35" t="inlineStr">
        <is>
          <t>Conception – JSONB</t>
        </is>
      </c>
    </row>
    <row r="21" ht="28.5" customHeight="1">
      <c r="A21" s="30" t="inlineStr">
        <is>
          <t>E2</t>
        </is>
      </c>
      <c r="B21" s="31" t="inlineStr">
        <is>
          <t>2. Implémentation et JSONB</t>
        </is>
      </c>
      <c r="C21" s="30" t="n">
        <v>20</v>
      </c>
      <c r="D21" s="31" t="inlineStr">
        <is>
          <t>19 sept</t>
        </is>
      </c>
      <c r="E21" s="32" t="inlineStr">
        <is>
          <t>Contrainte validant une propriété essentielle du JSONB</t>
        </is>
      </c>
      <c r="F21" s="30" t="inlineStr">
        <is>
          <t>Fait</t>
        </is>
      </c>
      <c r="G21" s="32" t="inlineStr">
        <is>
          <t>6 CHECK créés sans erreur (18 sept). Tests de refus prévus à l'étape 6. 25 sept : contraintes assouplies (choix de Vincent, option A) : aucune clé obligatoire, prévu pour de futurs prototypes / objets de collection. Chaque clé commune est absente, null ou du bon type. ck_spec_cles_obligatoires retirée, ck_spec_facultatifs fusionnée dans ck_spec_types; garantie ≥ 0 et connectivité non vide vérifiées seulement si fournies. Pas de prototype dans les données ni les tests pour l'instant. Validé par Vincent (creer_bd.command + tests OK).</t>
        </is>
      </c>
      <c r="H21" s="32" t="inlineStr">
        <is>
          <t>Contrainte</t>
        </is>
      </c>
    </row>
    <row r="22" ht="28.5" customHeight="1">
      <c r="A22" s="33" t="inlineStr">
        <is>
          <t>E2</t>
        </is>
      </c>
      <c r="B22" s="34" t="inlineStr">
        <is>
          <t>2. Implémentation et JSONB</t>
        </is>
      </c>
      <c r="C22" s="33" t="n">
        <v>20</v>
      </c>
      <c r="D22" s="34" t="inlineStr">
        <is>
          <t>19 sept</t>
        </is>
      </c>
      <c r="E22" s="35" t="inlineStr">
        <is>
          <t>Index GIN adapté à une requête JSONB</t>
        </is>
      </c>
      <c r="F22" s="33" t="inlineStr">
        <is>
          <t>Fait</t>
        </is>
      </c>
      <c r="G22" s="35" t="inlineStr">
        <is>
          <t>idx_specification_produit_gin (jsonb_path_ops, pour @&gt;) créé. Démonstration EXPLAIN à l'étape 4.</t>
        </is>
      </c>
      <c r="H22" s="35" t="inlineStr">
        <is>
          <t>Index</t>
        </is>
      </c>
    </row>
    <row r="23" ht="56" customHeight="1">
      <c r="A23" s="30" t="inlineStr">
        <is>
          <t>E2</t>
        </is>
      </c>
      <c r="B23" s="31" t="inlineStr">
        <is>
          <t>2. Implémentation et JSONB</t>
        </is>
      </c>
      <c r="C23" s="30" t="n">
        <v>20</v>
      </c>
      <c r="D23" s="31" t="inlineStr">
        <is>
          <t>19 sept</t>
        </is>
      </c>
      <c r="E23" s="32" t="inlineStr">
        <is>
          <t>3 index justifiés par des requêtes réelles</t>
        </is>
      </c>
      <c r="F23" s="30" t="inlineStr">
        <is>
          <t>Fait</t>
        </is>
      </c>
      <c r="G23" s="32" t="inlineStr">
        <is>
          <t>4 index (18 sept) : commande(id_client), commande(date_commande), info_commande(id_produit), audit_statut_commande(id_commande, date_changement). Les PK et UNIQUE ne comptent pas. EXPLAIN ANALYZE à l'étape 4.</t>
        </is>
      </c>
      <c r="H23" s="32" t="inlineStr">
        <is>
          <t>Index</t>
        </is>
      </c>
    </row>
    <row r="24" ht="15.25" customHeight="1">
      <c r="A24" s="33" t="inlineStr">
        <is>
          <t>E2</t>
        </is>
      </c>
      <c r="B24" s="34" t="inlineStr">
        <is>
          <t>2. Implémentation et JSONB</t>
        </is>
      </c>
      <c r="C24" s="33" t="n">
        <v>20</v>
      </c>
      <c r="D24" s="34" t="inlineStr">
        <is>
          <t>19 sept</t>
        </is>
      </c>
      <c r="E24" s="35" t="inlineStr">
        <is>
          <t>Charger la table statut</t>
        </is>
      </c>
      <c r="F24" s="33" t="inlineStr">
        <is>
          <t>Fait</t>
        </is>
      </c>
      <c r="G24" s="35" t="inlineStr">
        <is>
          <t>03_donnees.sql écrit le 19 sept : 6 statuts insérés en premier (En attente, Payée, En préparation, Expédiée, Livrée, Annulée). Exécuté et validé le 22 sept.</t>
        </is>
      </c>
      <c r="H24" s="35" t="n"/>
    </row>
    <row r="25" ht="28.5" customHeight="1">
      <c r="A25" s="30" t="inlineStr">
        <is>
          <t>E2</t>
        </is>
      </c>
      <c r="B25" s="31" t="inlineStr">
        <is>
          <t>2. Implémentation et JSONB</t>
        </is>
      </c>
      <c r="C25" s="30" t="n">
        <v>20</v>
      </c>
      <c r="D25" s="31" t="inlineStr">
        <is>
          <t>19 sept</t>
        </is>
      </c>
      <c r="E25" s="32" t="inlineStr">
        <is>
          <t>Charger ≥ 250 enregistrements fictifs (≥ 100 dans une table centrale)</t>
        </is>
      </c>
      <c r="F25" s="30" t="inlineStr">
        <is>
          <t>Fait</t>
        </is>
      </c>
      <c r="G25" s="32" t="inlineStr">
        <is>
          <t>Insérer les évaluations APRÈS les commandes (déclencheur). Générer par script = reproductible. 19 sept : 03_donnees.sql écrit. Paramètres en haut (nb_clients, nb_commandes, graine); défaut 150 / 500 ≈ 5 000 lignes. Fixe : 6 catégories, 24 produits + JSONB, 12 réceptions. Relançable (TRUNCATE ... RESTART IDENTITY). Dates d'audit étalées (accepté). Exécuté et validé le 22 sept (creer_bd.command, étapes 0 à 3 sans erreur). 22 sept : 03 réorganisé pour le cycle de vie : par commande, lignes → paiement → expéditions → progression du statut EN DERNIER; commande sans ligne ramenée à En attente. Revalidé le 22 sept (creer_bd.command sans erreur).</t>
        </is>
      </c>
      <c r="H25" s="32" t="n"/>
    </row>
    <row r="26" ht="28.5" customHeight="1">
      <c r="A26" s="33" t="inlineStr">
        <is>
          <t>E2</t>
        </is>
      </c>
      <c r="B26" s="34" t="inlineStr">
        <is>
          <t>2. Implémentation et JSONB</t>
        </is>
      </c>
      <c r="C26" s="33" t="n">
        <v>20</v>
      </c>
      <c r="D26" s="34" t="inlineStr">
        <is>
          <t>19 sept</t>
        </is>
      </c>
      <c r="E26" s="35" t="inlineStr">
        <is>
          <t>Régénérer le diagramme ERD après l'ajout du JSONB</t>
        </is>
      </c>
      <c r="F26" s="33" t="inlineStr">
        <is>
          <t>Fait</t>
        </is>
      </c>
      <c r="G26" s="35" t="inlineStr">
        <is>
          <t>Le JSONB a été ajouté avant la génération du diagramme (18 sept).</t>
        </is>
      </c>
      <c r="H26" s="35" t="n"/>
    </row>
    <row r="27" ht="28.5" customHeight="1">
      <c r="A27" s="36" t="inlineStr">
        <is>
          <t>E3</t>
        </is>
      </c>
      <c r="B27" s="37" t="inlineStr">
        <is>
          <t>3. Fonctions avancées</t>
        </is>
      </c>
      <c r="C27" s="36" t="n">
        <v>20</v>
      </c>
      <c r="D27" s="37" t="inlineStr">
        <is>
          <t>20 sept</t>
        </is>
      </c>
      <c r="E27" s="38" t="inlineStr">
        <is>
          <t>Vues utiles à l'application ou au rapport (2 vues)</t>
        </is>
      </c>
      <c r="F27" s="36" t="inlineStr">
        <is>
          <t>Fait</t>
        </is>
      </c>
      <c r="G27" s="38" t="inlineStr">
        <is>
          <t>22 sept : 2 vues décidées + 1 fonction. 04_vues_fonctions.sql écrit. v_commandes : id_commande, nom_client, date_commande, nom_statut (toutes les commandes, annulées comprises; pas de total). v_receptions_attendues : réceptions est_complete = FALSE, une ligne par réception, total d'unités attendues. Détail d'une réception = requête paramétrée dans l'app. Testées et validées par Vincent le 22 sept (v_commandes : compte = commande, Annulée présente; v_receptions_attendues : 3 lignes = réceptions non complétées, total réception 10 = SUM info_reception = 30).</t>
        </is>
      </c>
      <c r="H27" s="38" t="inlineStr">
        <is>
          <t>Livrable</t>
        </is>
      </c>
    </row>
    <row r="28" ht="15.25" customHeight="1">
      <c r="A28" s="39" t="inlineStr">
        <is>
          <t>E3</t>
        </is>
      </c>
      <c r="B28" s="40" t="inlineStr">
        <is>
          <t>3. Fonctions avancées</t>
        </is>
      </c>
      <c r="C28" s="39" t="n">
        <v>20</v>
      </c>
      <c r="D28" s="40" t="inlineStr">
        <is>
          <t>20 sept</t>
        </is>
      </c>
      <c r="E28" s="41" t="inlineStr">
        <is>
          <t>Une vue matérialisée + sa commande REFRESH</t>
        </is>
      </c>
      <c r="F28" s="39" t="inlineStr">
        <is>
          <t>Fait</t>
        </is>
      </c>
      <c r="G28" s="41" t="inlineStr">
        <is>
          <t>22 sept : mv_ventes_produit_7j ajoutée à 04_vues_fonctions.sql. Une ligne par produit : id, nom, catégorie, prix, coût, stock, quantite_vendue_7j (7 derniers jours au moment du REFRESH, annulées exclues, 0 si aucune vente), date_rafraichissement. Index UNIQUE (id_produit) → REFRESH CONCURRENTLY. Refresh chaque nuit : documenté (cron 2 h, README/rapport) + job pgAgent créé par Vincent. Testée et validée le 22 sept. Job pgAgent refresh_mv_ventes_produits_7j (base postgres, step SQL local sur tp1_vincent_trudel, tous les jours 02:00) fonctionnel. Problème réglé : ~postgres/.pgpass (/Library/PostgreSQL/18) ne couvrait que la base postgres → champ base remplacé par *. À documenter dans README/rapport (cron en alternative; .pgpass jamais dans la remise). Serveur = PostgreSQL 18.</t>
        </is>
      </c>
      <c r="H28" s="41" t="inlineStr">
        <is>
          <t>Livrable</t>
        </is>
      </c>
    </row>
    <row r="29" ht="15.25" customHeight="1">
      <c r="A29" s="36" t="inlineStr">
        <is>
          <t>E3</t>
        </is>
      </c>
      <c r="B29" s="37" t="inlineStr">
        <is>
          <t>3. Fonctions avancées</t>
        </is>
      </c>
      <c r="C29" s="36" t="n">
        <v>20</v>
      </c>
      <c r="D29" s="37" t="inlineStr">
        <is>
          <t>20 sept</t>
        </is>
      </c>
      <c r="E29" s="38" t="inlineStr">
        <is>
          <t>Une fonction PL/pgSQL avec ≥ 1 paramètre</t>
        </is>
      </c>
      <c r="F29" s="36" t="inlineStr">
        <is>
          <t>Fait</t>
        </is>
      </c>
      <c r="G29" s="38" t="inlineStr">
        <is>
          <t>22 sept : details_commande(p_id_commande) dans 04_vues_fonctions.sql. Retourne produit, quantite_commandee, prix_unitaire_fige (ajouté le 22 sept), sous_total (une ligne par produit). Pas de total : calculé par l'app. Commande inexistante → RAISE EXCEPTION SQLSTATE P0002. Commande sans ligne → résultat vide. Version initiale testée et validée le 22 sept (sous-total correct, exception P0002 OK); version avec prix unitaire retestée et validée le 22 sept.</t>
        </is>
      </c>
      <c r="H29" s="38" t="n"/>
    </row>
    <row r="30" ht="28.5" customHeight="1">
      <c r="A30" s="39" t="inlineStr">
        <is>
          <t>E3</t>
        </is>
      </c>
      <c r="B30" s="40" t="inlineStr">
        <is>
          <t>3. Fonctions avancées</t>
        </is>
      </c>
      <c r="C30" s="39" t="n">
        <v>20</v>
      </c>
      <c r="D30" s="40" t="inlineStr">
        <is>
          <t>20 sept</t>
        </is>
      </c>
      <c r="E30" s="41" t="inlineStr">
        <is>
          <t>Une procédure PL/pgSQL en plusieurs étapes</t>
        </is>
      </c>
      <c r="F30" s="39" t="inlineStr">
        <is>
          <t>Fait</t>
        </is>
      </c>
      <c r="G30" s="41" t="inlineStr">
        <is>
          <t>22 sept : avancer_commande(p_id_commande, p_camion DEFAULT NULL) dans 04_vues_fonctions.sql (remplace l'idée valider_reception). Passe au statut suivant et fait le travail de l'étape : En attente → Payée → En préparation (statut seul, le déclencheur vérifie le paiement); En préparation → Expédiée (crée expedition + info_expedition pour la quantité restante); Expédiée → Livrée (complète les expéditions). FOR UPDATE, atomique. Erreurs : inexistante (P0002), Livrée/Annulée. Limite : expédition partagée entre commandes. Testée et validée par Vincent le 22 sept (saut refusé, Payée sans paiement refusé, INSERT hors En attente refusé, parcours complet + audit + expédition, Livrée ne peut plus avancer, annulation OK).</t>
        </is>
      </c>
      <c r="H30" s="41" t="inlineStr">
        <is>
          <t>Livrable</t>
        </is>
      </c>
    </row>
    <row r="31" ht="28.5" customHeight="1">
      <c r="A31" s="36" t="inlineStr">
        <is>
          <t>E3</t>
        </is>
      </c>
      <c r="B31" s="37" t="inlineStr">
        <is>
          <t>3. Fonctions avancées</t>
        </is>
      </c>
      <c r="C31" s="36" t="n">
        <v>20</v>
      </c>
      <c r="D31" s="37" t="inlineStr">
        <is>
          <t>20 sept</t>
        </is>
      </c>
      <c r="E31" s="38" t="inlineStr">
        <is>
          <t>Table d'audit + déclencheur (opération, date, valeurs utiles)</t>
        </is>
      </c>
      <c r="F31" s="36" t="inlineStr">
        <is>
          <t>Fait</t>
        </is>
      </c>
      <c r="G31" s="38" t="inlineStr">
        <is>
          <t>audit_statut_commande (01) + trg_audit_statut_commande (02), créés sans erreur le 18 sept. Tests prévus à l'étape 6. 19 sept : branche DELETE conservée comme filet de sécurité (n'arrive plus, suppression de commande interdite).</t>
        </is>
      </c>
      <c r="H31" s="38" t="inlineStr">
        <is>
          <t>Conception – audit</t>
        </is>
      </c>
    </row>
    <row r="32" ht="15.25" customHeight="1">
      <c r="A32" s="39" t="inlineStr">
        <is>
          <t>E3</t>
        </is>
      </c>
      <c r="B32" s="40" t="inlineStr">
        <is>
          <t>3. Fonctions avancées</t>
        </is>
      </c>
      <c r="C32" s="39" t="n">
        <v>20</v>
      </c>
      <c r="D32" s="40" t="inlineStr">
        <is>
          <t>20 sept</t>
        </is>
      </c>
      <c r="E32" s="41" t="inlineStr">
        <is>
          <t>Rôle lecture + rôle modification, privilèges minimaux</t>
        </is>
      </c>
      <c r="F32" s="39" t="inlineStr">
        <is>
          <t>Fait</t>
        </is>
      </c>
      <c r="G32" s="41" t="inlineStr">
        <is>
          <t>22 sept : 05_roles.sql. Personnel = rôles PostgreSQL, clients = application (hash_mot_passe_client); pas de table type de compte. Groupes NOLOGIN emboîtés : tp1_employe (CONNECT, USAGE, SELECT sauf client.hash_mot_passe_client, EXECUTE details_commande) → tp1_gestionnaire (+ INSERT/UPDATE tables d'opération + catalogue sauf statut, + INSERT audit, + EXECUTE avancer_commande) → tp1_admin (+ MAINTAIN). Aucun DELETE/TRUNCATE; droits de PUBLIC retirés. Utilisateurs demo_employe, demo_gestionnaire, demo_admin (CREATEROLE + ADMIN OPTION), sans mot de passe dans le script. Pas de SECURITY DEFINER (limite : fausse ligne d'audit possible). Testés et validés le 22 sept (SET ROLE). ⚠ À REVALIDER par Vincent et s'assurer de bien comprendre à quoi servent les rôles et chaque privilège.</t>
        </is>
      </c>
      <c r="H32" s="41" t="inlineStr">
        <is>
          <t>Sécurité</t>
        </is>
      </c>
    </row>
    <row r="33" ht="30" customHeight="1">
      <c r="A33" s="36" t="inlineStr">
        <is>
          <t>E3</t>
        </is>
      </c>
      <c r="B33" s="37" t="inlineStr">
        <is>
          <t>3. Fonctions avancées</t>
        </is>
      </c>
      <c r="C33" s="36" t="n">
        <v>20</v>
      </c>
      <c r="D33" s="37" t="inlineStr">
        <is>
          <t>20 sept</t>
        </is>
      </c>
      <c r="E33" s="38" t="inlineStr">
        <is>
          <t>Une transaction COMMIT + une ROLLBACK</t>
        </is>
      </c>
      <c r="F33" s="36" t="inlineStr">
        <is>
          <t>Fait</t>
        </is>
      </c>
      <c r="G33" s="38" t="inlineStr">
        <is>
          <t>22 sept : 06_transactions.sql (hors creer_bd.command : modifie les données et le 2e scénario échoue volontairement; à exécuter bloc par bloc dans le MÊME onglet pgAdmin, table temporaire). Scénario carte : autorisation (est_complete = FALSE) puis capture (TRUE + date). Processeur externe simulé, réponse en commentaire; l'app (étape 5) décidera du COMMIT/ROLLBACK. 1) Capture approuvée → paiement complété + commande Payée → COMMIT. 2) Autorisation partielle (moitié) → capture puis passage à Payée refusé par trg_proteger_commande (règle g) → ROLLBACK : paiement revenu en autorisation, commande En attente, aucune ligne d'audit. Règle protégée : pas de commande payée sans paiement suffisant + tout ou rien. Testé et validé par Vincent le 22 sept : scénario 1 (COMMIT) OK, scénario 2 (erreur attendue puis ROLLBACK) OK. À exécuter en 3 temps : 2.1+2.2, puis 2.3 sans le ROLLBACK, puis le ROLLBACK seul (une erreur annule tout l'envoi, y compris l'INSERT dans la table temporaire).</t>
        </is>
      </c>
      <c r="H33" s="38" t="inlineStr">
        <is>
          <t>Livrable</t>
        </is>
      </c>
    </row>
    <row r="34" ht="41.5" customHeight="1">
      <c r="A34" s="39" t="inlineStr">
        <is>
          <t>E3</t>
        </is>
      </c>
      <c r="B34" s="40" t="inlineStr">
        <is>
          <t>3. Fonctions avancées</t>
        </is>
      </c>
      <c r="C34" s="39" t="n">
        <v>20</v>
      </c>
      <c r="D34" s="40" t="inlineStr">
        <is>
          <t>20 sept</t>
        </is>
      </c>
      <c r="E34" s="41" t="inlineStr">
        <is>
          <t>Déclencheurs métier (stock, évaluation, réception, expédition, annulation)</t>
        </is>
      </c>
      <c r="F34" s="39" t="inlineStr">
        <is>
          <t>Fait</t>
        </is>
      </c>
      <c r="G34" s="41" t="inlineStr">
        <is>
          <t>11 déclencheurs : stock, évaluation, réception x3, audit, quantité expédiée x2 (installés sans erreur le 18 sept) + annulation x3 écrits le 19 sept (trg_proteger_commande, trg_restituer_stock_annulation, trg_proteger_lignes_commande_annulee) — exécutés sans erreur le 22 sept. Tests prévus à l'étape 6. 22 sept : trg_proteger_commande étendu (BEFORE INSERT/UPDATE/DELETE) — cycle de vie : INSERT toujours En attente; transitions permises seulement En attente → Payée → En préparation → Expédiée → Livrée (+ annulation); Payée = ≥1 ligne + paiements complétés ≥ total; Expédiée = quantités couvertes par info_expedition; Livrée = expéditions complétées. Revalidé le 22 sept.</t>
        </is>
      </c>
      <c r="H34" s="41" t="inlineStr">
        <is>
          <t>Règle métier – déclencheur</t>
        </is>
      </c>
    </row>
    <row r="35" ht="15.25" customHeight="1">
      <c r="A35" s="42" t="inlineStr">
        <is>
          <t>E4</t>
        </is>
      </c>
      <c r="B35" s="43" t="inlineStr">
        <is>
          <t>4. Requêtes et performance</t>
        </is>
      </c>
      <c r="C35" s="42" t="n">
        <v>20</v>
      </c>
      <c r="D35" s="43" t="inlineStr">
        <is>
          <t>21 sept</t>
        </is>
      </c>
      <c r="E35" s="44" t="inlineStr">
        <is>
          <t>Requête : jointure d'au moins 3 tables</t>
        </is>
      </c>
      <c r="F35" s="42" t="inlineStr">
        <is>
          <t>Fait</t>
        </is>
      </c>
      <c r="G35" s="44" t="inlineStr">
        <is>
          <t>22 sept : requête 1 dans 07_requetes.sql (produit JOIN categorie JOIN specification_produit, infos produit + nom_categorie + specifications_produit JSONB). Validée par Vincent le 22 sept.</t>
        </is>
      </c>
      <c r="H35" s="44" t="n"/>
    </row>
    <row r="36" ht="15.25" customHeight="1">
      <c r="A36" s="45" t="inlineStr">
        <is>
          <t>E4</t>
        </is>
      </c>
      <c r="B36" s="46" t="inlineStr">
        <is>
          <t>4. Requêtes et performance</t>
        </is>
      </c>
      <c r="C36" s="45" t="n">
        <v>20</v>
      </c>
      <c r="D36" s="46" t="inlineStr">
        <is>
          <t>21 sept</t>
        </is>
      </c>
      <c r="E36" s="47" t="inlineStr">
        <is>
          <t>Requête : agrégation GROUP BY + HAVING</t>
        </is>
      </c>
      <c r="F36" s="45" t="inlineStr">
        <is>
          <t>Fait</t>
        </is>
      </c>
      <c r="G36" s="47" t="inlineStr">
        <is>
          <t>24 sept : requête 2 dans 07_requetes.sql (revenu total par catégorie, commandes non annulées, GROUP BY + HAVING sur un seuil de 1000). Validée par Vincent le 24 sept.</t>
        </is>
      </c>
      <c r="H36" s="47" t="n"/>
      <c r="I36" s="48" t="n"/>
    </row>
    <row r="37" ht="15.25" customHeight="1">
      <c r="A37" s="42" t="inlineStr">
        <is>
          <t>E4</t>
        </is>
      </c>
      <c r="B37" s="43" t="inlineStr">
        <is>
          <t>4. Requêtes et performance</t>
        </is>
      </c>
      <c r="C37" s="42" t="n">
        <v>20</v>
      </c>
      <c r="D37" s="43" t="inlineStr">
        <is>
          <t>21 sept</t>
        </is>
      </c>
      <c r="E37" s="44" t="inlineStr">
        <is>
          <t>Requête : sous-requête corrélée ou EXISTS</t>
        </is>
      </c>
      <c r="F37" s="42" t="inlineStr">
        <is>
          <t>Fait</t>
        </is>
      </c>
      <c r="G37" s="44" t="inlineStr">
        <is>
          <t>24 sept : requête 3 dans 07_requetes.sql (client(s) ayant le plus dépensé, commandes non annulées, via NOT EXISTS corrélé sur deux sous-requêtes dérivées du total par client). Validée par Vincent le 24 sept.</t>
        </is>
      </c>
      <c r="H37" s="44" t="n"/>
    </row>
    <row r="38" ht="15.25" customHeight="1">
      <c r="A38" s="45" t="inlineStr">
        <is>
          <t>E4</t>
        </is>
      </c>
      <c r="B38" s="46" t="inlineStr">
        <is>
          <t>4. Requêtes et performance</t>
        </is>
      </c>
      <c r="C38" s="45" t="n">
        <v>20</v>
      </c>
      <c r="D38" s="46" t="inlineStr">
        <is>
          <t>21 sept</t>
        </is>
      </c>
      <c r="E38" s="47" t="inlineStr">
        <is>
          <t>Requête : expression de table commune (WITH)</t>
        </is>
      </c>
      <c r="F38" s="45" t="inlineStr">
        <is>
          <t>Fait</t>
        </is>
      </c>
      <c r="G38" s="47" t="inlineStr">
        <is>
          <t>24 sept : requête 4 dans 07_requetes.sql (CTE commande_totaux : total + nb de produits différents par commande, non annulées; requête principale agrège par client : nb commandes, 1re/dernière date, total dépensé, moyenne de produits différents par commande). Validée par Vincent le 24 sept.</t>
        </is>
      </c>
      <c r="H38" s="47" t="n"/>
    </row>
    <row r="39" ht="15.25" customHeight="1">
      <c r="A39" s="42" t="inlineStr">
        <is>
          <t>E4</t>
        </is>
      </c>
      <c r="B39" s="43" t="inlineStr">
        <is>
          <t>4. Requêtes et performance</t>
        </is>
      </c>
      <c r="C39" s="42" t="n">
        <v>20</v>
      </c>
      <c r="D39" s="43" t="inlineStr">
        <is>
          <t>21 sept</t>
        </is>
      </c>
      <c r="E39" s="44" t="inlineStr">
        <is>
          <t>Requête : fonction de fenêtre (OVER)</t>
        </is>
      </c>
      <c r="F39" s="42" t="inlineStr">
        <is>
          <t>Fait</t>
        </is>
      </c>
      <c r="G39" s="44" t="inlineStr">
        <is>
          <t>24 sept : requête 5 dans 07_requetes.sql (classement complet des clients par montant dépensé, commandes non annulées, RANK() OVER (ORDER BY SUM(...) DESC) directement sur l'agrégat groupé — reprend la question de la requête 3 avec la technique fenêtre; le rang 1 doit correspondre au client trouvé par NOT EXISTS en requête 3). Validée par Vincent le 24 sept.</t>
        </is>
      </c>
      <c r="H39" s="44" t="n"/>
    </row>
    <row r="40" ht="15.25" customHeight="1">
      <c r="A40" s="45" t="inlineStr">
        <is>
          <t>E4</t>
        </is>
      </c>
      <c r="B40" s="46" t="inlineStr">
        <is>
          <t>4. Requêtes et performance</t>
        </is>
      </c>
      <c r="C40" s="45" t="n">
        <v>20</v>
      </c>
      <c r="D40" s="46" t="inlineStr">
        <is>
          <t>21 sept</t>
        </is>
      </c>
      <c r="E40" s="47" t="inlineStr">
        <is>
          <t>Requête : UNION, INTERSECT ou EXCEPT</t>
        </is>
      </c>
      <c r="F40" s="45" t="inlineStr">
        <is>
          <t>Fait</t>
        </is>
      </c>
      <c r="G40" s="47" t="inlineStr">
        <is>
          <t>24 sept : requête 6 dans 07_requetes.sql (clients "à risque" : UNION entre commande annulée et commande annulée avec paiement non complété; limité aux commandes déjà annulées car le schéma paiement n'a pas de colonne statut/raison pour distinguer échoué de pas encore complété — voir question ouverte #3 dans les notes de suivi). Validée par Vincent le 24 sept.</t>
        </is>
      </c>
      <c r="H40" s="47" t="n"/>
    </row>
    <row r="41" ht="15.25" customHeight="1">
      <c r="A41" s="42" t="inlineStr">
        <is>
          <t>E4</t>
        </is>
      </c>
      <c r="B41" s="43" t="inlineStr">
        <is>
          <t>4. Requêtes et performance</t>
        </is>
      </c>
      <c r="C41" s="42" t="n">
        <v>20</v>
      </c>
      <c r="D41" s="43" t="inlineStr">
        <is>
          <t>21 sept</t>
        </is>
      </c>
      <c r="E41" s="44" t="inlineStr">
        <is>
          <t>Requête : appel à la vue, la vue matérialisée ou la fonction</t>
        </is>
      </c>
      <c r="F41" s="42" t="inlineStr">
        <is>
          <t>Fait</t>
        </is>
      </c>
      <c r="G41" s="44" t="inlineStr">
        <is>
          <t>24 sept : requête 7 dans 07_requetes.sql (top 10 produits vendus dans les 7 derniers jours, à partir de la vue matérialisée mv_ventes_produit_7j, filtrée sur quantite_vendue_7j &gt; 0, triée décroissant). Validée par Vincent le 24 sept.</t>
        </is>
      </c>
      <c r="H41" s="44" t="n"/>
    </row>
    <row r="42" ht="15.25" customHeight="1">
      <c r="A42" s="45" t="inlineStr">
        <is>
          <t>E4</t>
        </is>
      </c>
      <c r="B42" s="46" t="inlineStr">
        <is>
          <t>4. Requêtes et performance</t>
        </is>
      </c>
      <c r="C42" s="45" t="n">
        <v>20</v>
      </c>
      <c r="D42" s="46" t="inlineStr">
        <is>
          <t>21 sept</t>
        </is>
      </c>
      <c r="E42" s="47" t="inlineStr">
        <is>
          <t>Requête : écriture paramétrée exécutée par l'application</t>
        </is>
      </c>
      <c r="F42" s="45" t="inlineStr">
        <is>
          <t>En cours</t>
        </is>
      </c>
      <c r="G42" s="47" t="inlineStr">
        <is>
          <t>24 sept : requête 8 écrite dans 07_requetes.sql (recherche de commandes selon 2 critères : client + statut, placeholders %s style psycopg2). Logique de la requête pas encore testée dans pgAdmin (remplacer les %s par des valeurs littérales pour tester); le vrai comportement paramétré (cursor.execute) ne pourra être confirmé qu'une fois l'application cliente de l'étape 5 codée. À TESTER.</t>
        </is>
      </c>
      <c r="H42" s="47" t="n"/>
    </row>
    <row r="43" ht="15.25" customHeight="1">
      <c r="A43" s="42" t="inlineStr">
        <is>
          <t>E4</t>
        </is>
      </c>
      <c r="B43" s="43" t="inlineStr">
        <is>
          <t>4. Requêtes et performance</t>
        </is>
      </c>
      <c r="C43" s="42" t="n">
        <v>20</v>
      </c>
      <c r="D43" s="43" t="inlineStr">
        <is>
          <t>21 sept</t>
        </is>
      </c>
      <c r="E43" s="44" t="inlineStr">
        <is>
          <t>Requête JSONB : recherche par contenance @&gt;</t>
        </is>
      </c>
      <c r="F43" s="42" t="inlineStr">
        <is>
          <t>Fait</t>
        </is>
      </c>
      <c r="G43" s="44" t="inlineStr">
        <is>
          <t>24 sept : requête 9 dans 07_requetes.sql (produits selon la marque recherchée, contenance @&gt; avec jsonb_build_object('marque', %s) -- générique/paramétrée pour l'appli étape 5, profite de l'index GIN idx_specification_produit_gin). Validée par Vincent le 24 sept. 25 sept : 'Samsung' n'existe pas dans les données (marques : Nordik, Voltra, Kappa, Pixelis, Aurore, Sonance) → retester avec 'Pixelis'. Commentaire ajouté : clé marque facultative; paramètre NULL → produits à marque inconnue.</t>
        </is>
      </c>
      <c r="H43" s="44" t="n"/>
    </row>
    <row r="44" ht="15.25" customHeight="1">
      <c r="A44" s="45" t="inlineStr">
        <is>
          <t>E4</t>
        </is>
      </c>
      <c r="B44" s="46" t="inlineStr">
        <is>
          <t>4. Requêtes et performance</t>
        </is>
      </c>
      <c r="C44" s="45" t="n">
        <v>20</v>
      </c>
      <c r="D44" s="46" t="inlineStr">
        <is>
          <t>21 sept</t>
        </is>
      </c>
      <c r="E44" s="47" t="inlineStr">
        <is>
          <t>Requête JSONB : manipulation d'une structure imbriquée</t>
        </is>
      </c>
      <c r="F44" s="45" t="inlineStr">
        <is>
          <t>Fait</t>
        </is>
      </c>
      <c r="G44" s="47" t="inlineStr">
        <is>
          <t>24 sept : requête 10 dans 07_requetes.sql (UPDATE specification_produit, jsonb_set sur {dimensions,largeur}, create_missing=false, WHERE id_produit cible un produit precis). Validée par Vincent le 24 sept.</t>
        </is>
      </c>
      <c r="H44" s="47" t="n"/>
    </row>
    <row r="45" ht="15.25" customHeight="1">
      <c r="A45" s="42" t="inlineStr">
        <is>
          <t>E4</t>
        </is>
      </c>
      <c r="B45" s="43" t="inlineStr">
        <is>
          <t>4. Requêtes et performance</t>
        </is>
      </c>
      <c r="C45" s="42" t="n">
        <v>20</v>
      </c>
      <c r="D45" s="43" t="inlineStr">
        <is>
          <t>22 sept</t>
        </is>
      </c>
      <c r="E45" s="44" t="inlineStr">
        <is>
          <t>EXPLAIN ANALYZE avant/après index sur 2 requêtes</t>
        </is>
      </c>
      <c r="F45" s="42" t="inlineStr">
        <is>
          <t>Fait</t>
        </is>
      </c>
      <c r="G45" s="44" t="inlineStr">
        <is>
          <t>25 sept : sections 11-12 dans 07_requetes.sql. Jeu de donnees monte a 50 000 commandes / 1500 clients (graine 0.75) pour un test significatif. Candidat A (commande.id_statut, index idx_commande_id_statut) : Seq Scan+Hash Join (21.423 ms) -&gt; Bitmap Index/Heap Scan (10.855 ms). Candidat B (paiement.est_complete, index partiel idx_paiement_incomplet WHERE est_complete=FALSE) : Seq Scan (8.722 ms) -&gt; Index Scan (6.283 ms). Captures et CSV des plans dans Doc/. Validee par Vincent le 25 sept.</t>
        </is>
      </c>
      <c r="H45" s="44" t="n"/>
    </row>
    <row r="46" ht="15.25" customHeight="1">
      <c r="A46" s="45" t="inlineStr">
        <is>
          <t>E4</t>
        </is>
      </c>
      <c r="B46" s="46" t="inlineStr">
        <is>
          <t>4. Requêtes et performance</t>
        </is>
      </c>
      <c r="C46" s="45" t="n">
        <v>20</v>
      </c>
      <c r="D46" s="46" t="inlineStr">
        <is>
          <t>22 sept</t>
        </is>
      </c>
      <c r="E46" s="47" t="inlineStr">
        <is>
          <t>Comparer parcours, coût, lignes, temps + explication honnête</t>
        </is>
      </c>
      <c r="F46" s="45" t="inlineStr">
        <is>
          <t>Fait</t>
        </is>
      </c>
      <c r="G46" s="47" t="inlineStr">
        <is>
          <t>25 sept : comparaison detaillee (parcours/cout/lignes/temps) redigee dans Doc/justification_requetes_etape4.md, section 11-12. Candidat A : gain de temps net (~2x plus rapide) et vrai changement de parcours grace au grand volume de donnees. Candidat B : le parcours change (Seq Scan -&gt; Index Scan) et le cout estime chute fortement, mais le gain de temps reel est plus modeste car les donnees etaient deja largement en cache (buffers shared hit eleves) -- explique honnetement dans le doc de justification.</t>
        </is>
      </c>
      <c r="H46" s="47" t="n"/>
    </row>
    <row r="47" ht="41.5" customHeight="1">
      <c r="A47" s="11" t="inlineStr">
        <is>
          <t>E6</t>
        </is>
      </c>
      <c r="B47" s="12" t="inlineStr">
        <is>
          <t>6. Tests et reproductibilité</t>
        </is>
      </c>
      <c r="C47" s="11" t="n"/>
      <c r="D47" s="12" t="inlineStr">
        <is>
          <t>22 sept</t>
        </is>
      </c>
      <c r="E47" s="13" t="inlineStr">
        <is>
          <t>Script principal exécutant les scripts SQL dans l'ordre</t>
        </is>
      </c>
      <c r="F47" s="11" t="inlineStr">
        <is>
          <t>Fait</t>
        </is>
      </c>
      <c r="G47" s="13" t="inlineStr">
        <is>
          <t>creer_bd.command s'arrête déjà à la première erreur (ON_ERROR_STOP + vérification). Ajouter les futurs scripts (données, étape 3, tests). 03_donnees.sql ajouté (19 sept) : 00 → 01 → 02 → 03 en un double-clic. 22 sept : 04_vues_fonctions.sql ajouté (étape 4 du lanceur). 22 sept : 04 contient aussi la procédure avancer_commande. 22 sept : 05_roles.sql ajouté (étape 5 du lanceur). 25 sept : les tests ont leur propre lanceur, lancer_tests.command (creer_bd.command reste dédié à la création : destructif et long). creer_bd.command enchaîne 00 → 05 et s'arrête à la première erreur : exigence remplie.</t>
        </is>
      </c>
      <c r="H47" s="13" t="n"/>
    </row>
    <row r="48" ht="173.5" customHeight="1">
      <c r="A48" s="14" t="inlineStr">
        <is>
          <t>E6</t>
        </is>
      </c>
      <c r="B48" s="15" t="inlineStr">
        <is>
          <t>6. Tests et reproductibilité</t>
        </is>
      </c>
      <c r="C48" s="14" t="n"/>
      <c r="D48" s="15" t="inlineStr">
        <is>
          <t>22 sept</t>
        </is>
      </c>
      <c r="E48" s="16" t="inlineStr">
        <is>
          <t>≥ 6 tests ou assertions SQL</t>
        </is>
      </c>
      <c r="F48" s="14" t="inlineStr">
        <is>
          <t>Fait</t>
        </is>
      </c>
      <c r="G48" s="16" t="inlineStr">
        <is>
          <t>Couvrir contraintes, routine, déclencheur, résultats principaux. Tests prévus : (1) JSONB valide accepté; (2) JSONB sans connectivite refusé (ck_spec_cles_obligatoires); (3) garantie négative refusée (ck_spec_garantie); (4) dimensions non-objet refusé (ck_spec_types); (5) validation d'une réception : stock augmente; (6) modif/suppression d'une réception validée refusée; (7) modif d'une ligne d'une réception validée refusée; (8) réception attendue supprimable avec ses lignes. (9) audit : création, changement de statut et suppression d'une commande journalisés; même statut réécrit = aucune ligne. (10) expédition dépassant la quantité commandée refusée (y compris en 2 colis); (11) baisse de quantité commandée sous le total expédié refusée. Annulation (19 sept) : (12) annuler une commande En attente → stock remonte; (13) ajout/modif/suppression d'une ligne d'une commande annulée refusé; (14) commande annulée → autre statut refusé; (15) DELETE d'une commande refusé; (16) annuler une commande Expédiée ou Livrée refusé. 22 sept, cycle de vie : (17) saut de statut refusé; (18) Payée sans paiement complété refusé; (19) INSERT hors En attente refusé; (20) parcours complet avec avancer_commande (audit + expédition); (21) avancer une commande Livrée refusé; (22) details_commande id inexistant → P0002. Rôles (SET ROLE) : (23) employé ne lit pas hash_mot_passe_client; (24) employé ne peut pas écrire ni appeler avancer_commande; (25) gestionnaire avance une commande, audit = demo_gestionnaire; (26) gestionnaire : DELETE, UPDATE statut, REFRESH refusés; (27) admin : REFRESH OK, crée un utilisateur. Transactions : (28) COMMIT capture + Payée; (29) autorisation partielle → refus + ROLLBACK, paiement revenu en autorisation, commande En attente, aucun audit UPDATE. 25 sept : 08_tests.sql écrit, relu et approuvé par Vincent. 17 tests (T01-T17) : contraintes T01-T04 (CHECK prix, FK, UNIQUE courriel, JSONB avec nom de contrainte vérifié), déclencheurs T05-T11 (stock, évaluation, réception, expédition, cycle de vie, audit, annulation), routines T12-T13 (details_commande, avancer_commande), transaction T14, résultats T15 (v_commandes, v_receptions_attendues, mv_ventes_produit_7j), rôles T16-T17 (SET ROLE demo_*). Tout dans BEGIN … ROLLBACK (base inchangée), données de test propres, indépendant du volume. Tests de la liste non repris : 8, 27, 28. Lancement : lancer_tests.command (ON_ERROR_ROLLBACK=on : [OK]/[ECHEC] pour chaque test + bilan). 25 sept : exécuté par Vincent avec lancer_tests.command : 17/17 réussis, mêmes résultats que les tests faits à la main le 22 sept. 25 sept : T04 adapté aux clés JSONB facultatives : le refus « sans connectivité » (ck_spec_cles_obligatoires, retirée) est remplacé par « connectivité vide » (ck_spec_connectivite_non_vide). Relancé par Vincent : tous les tests réussis.</t>
        </is>
      </c>
      <c r="H48" s="16" t="inlineStr">
        <is>
          <t>Tests à faire</t>
        </is>
      </c>
    </row>
    <row r="49" ht="15.25" customHeight="1">
      <c r="A49" s="49" t="inlineStr">
        <is>
          <t>E5</t>
        </is>
      </c>
      <c r="B49" s="50" t="inlineStr">
        <is>
          <t>5. Application cliente</t>
        </is>
      </c>
      <c r="C49" s="49" t="n">
        <v>10</v>
      </c>
      <c r="D49" s="50" t="inlineStr">
        <is>
          <t>23 sept</t>
        </is>
      </c>
      <c r="E49" s="51" t="inlineStr">
        <is>
          <t>Connexion par variables d'environnement</t>
        </is>
      </c>
      <c r="F49" s="49" t="inlineStr">
        <is>
          <t>Fait</t>
        </is>
      </c>
      <c r="G49" s="51" t="inlineStr">
        <is>
          <t>Python (psycopg) ou C# (Npgsql). 25 sept : choix de Vincent = C# avec Npgsql. Squelette créé dans app/ (Tp1Commerce.csproj : console net8.0 + Npgsql 9.0.3; Program.cs vide avec la liste des exigences en commentaire; .gitignore bin/ obj/ .env). Vérifier la version du SDK (dotnet --list-sdks) et ajuster TargetFramework au besoin. Étape 5 faite en dernier (après l'étape 7). 25 sept : C# + Npgsql, projet app/Tp1Commerce.csproj passé de net8.0 à net10.0 (le Mac n'a que les runtimes 9 et 10). Connexion.cs : PGHOST (localhost), PGPORT (5432), PGDATABASE (tp1_vincent_trudel), PGUSER et PGPASSWORD obligatoires, NpgsqlConnectionStringBuilder, SearchPath = commerce. Utilisateur : demo_gestionnaire (mot de passe défini à la main, à redéfinir après chaque creer_bd.command). Code écrit par Claude à la demande de Vincent, testé par Vincent le 25 sept.</t>
        </is>
      </c>
      <c r="H49" s="51" t="n"/>
    </row>
    <row r="50" ht="15.25" customHeight="1">
      <c r="A50" s="52" t="inlineStr">
        <is>
          <t>E5</t>
        </is>
      </c>
      <c r="B50" s="53" t="inlineStr">
        <is>
          <t>5. Application cliente</t>
        </is>
      </c>
      <c r="C50" s="52" t="n">
        <v>10</v>
      </c>
      <c r="D50" s="53" t="inlineStr">
        <is>
          <t>23 sept</t>
        </is>
      </c>
      <c r="E50" s="54" t="inlineStr">
        <is>
          <t>Requêtes paramétrées pour toutes les valeurs saisies</t>
        </is>
      </c>
      <c r="F50" s="52" t="inlineStr">
        <is>
          <t>Fait</t>
        </is>
      </c>
      <c r="G50" s="54" t="inlineStr">
        <is>
          <t>25 sept : toutes les valeurs saisies passent par des paramètres Npgsql (@nom), aucune concaténation dans le SQL. Les %s des requêtes 8 et 9 convertis. Recherche par nom : ILIKE '%' || @param || '%'.</t>
        </is>
      </c>
      <c r="H50" s="54" t="n"/>
    </row>
    <row r="51" ht="15.25" customHeight="1">
      <c r="A51" s="49" t="inlineStr">
        <is>
          <t>E5</t>
        </is>
      </c>
      <c r="B51" s="50" t="inlineStr">
        <is>
          <t>5. Application cliente</t>
        </is>
      </c>
      <c r="C51" s="49" t="n">
        <v>10</v>
      </c>
      <c r="D51" s="50" t="inlineStr">
        <is>
          <t>23 sept</t>
        </is>
      </c>
      <c r="E51" s="51" t="inlineStr">
        <is>
          <t>Afficher une liste venant d'une jointure ou d'une vue</t>
        </is>
      </c>
      <c r="F51" s="49" t="inlineStr">
        <is>
          <t>Fait</t>
        </is>
      </c>
      <c r="G51" s="51" t="inlineStr">
        <is>
          <t>25 sept : option 1, vue v_commandes (LIMIT paramétré, 20 par défaut).</t>
        </is>
      </c>
      <c r="H51" s="51" t="n"/>
    </row>
    <row r="52" ht="15.25" customHeight="1">
      <c r="A52" s="52" t="inlineStr">
        <is>
          <t>E5</t>
        </is>
      </c>
      <c r="B52" s="53" t="inlineStr">
        <is>
          <t>5. Application cliente</t>
        </is>
      </c>
      <c r="C52" s="52" t="n">
        <v>10</v>
      </c>
      <c r="D52" s="53" t="inlineStr">
        <is>
          <t>23 sept</t>
        </is>
      </c>
      <c r="E52" s="54" t="inlineStr">
        <is>
          <t>Recherche selon ≥ 2 critères fournis par l'utilisateur</t>
        </is>
      </c>
      <c r="F52" s="52" t="inlineStr">
        <is>
          <t>Fait</t>
        </is>
      </c>
      <c r="G52" s="54" t="inlineStr">
        <is>
          <t>25 sept : option 2, nom de client (ILIKE, partiel) + statut choisi dans la liste de la table statut (requête 8 adaptée : nom au lieu de id_client, id_client affiché). Option 3 (hors énoncé) : produits par marque (@&gt;, requête 9), marques listées depuis le JSONB. À décider : aligner la requête 8 de 07_requetes.sql.</t>
        </is>
      </c>
      <c r="H52" s="54" t="n"/>
    </row>
    <row r="53" ht="15.25" customHeight="1">
      <c r="A53" s="49" t="inlineStr">
        <is>
          <t>E5</t>
        </is>
      </c>
      <c r="B53" s="50" t="inlineStr">
        <is>
          <t>5. Application cliente</t>
        </is>
      </c>
      <c r="C53" s="49" t="n">
        <v>10</v>
      </c>
      <c r="D53" s="50" t="inlineStr">
        <is>
          <t>23 sept</t>
        </is>
      </c>
      <c r="E53" s="51" t="inlineStr">
        <is>
          <t>Ajouter une donnée en respectant les contraintes</t>
        </is>
      </c>
      <c r="F53" s="49" t="inlineStr">
        <is>
          <t>Fait</t>
        </is>
      </c>
      <c r="G53" s="51" t="inlineStr">
        <is>
          <t>25 sept : option 6, ajout d'une évaluation : client choisi par nom (liste avec courriel), puis produit choisi parmi ceux qu'il a achetés et pas encore évalués, note 1-5, commentaire facultatif, INSERT … RETURNING. Le déclencheur d'achat et l'UNIQUE ne se déclenchent plus depuis l'app (démontrés par T05-T11 et demo_employe → 42501).</t>
        </is>
      </c>
      <c r="H53" s="51" t="n"/>
    </row>
    <row r="54" ht="15.25" customHeight="1">
      <c r="A54" s="52" t="inlineStr">
        <is>
          <t>E5</t>
        </is>
      </c>
      <c r="B54" s="53" t="inlineStr">
        <is>
          <t>5. Application cliente</t>
        </is>
      </c>
      <c r="C54" s="52" t="n">
        <v>10</v>
      </c>
      <c r="D54" s="53" t="inlineStr">
        <is>
          <t>23 sept</t>
        </is>
      </c>
      <c r="E54" s="54" t="inlineStr">
        <is>
          <t>Modifier ou supprimer une donnée dans une transaction</t>
        </is>
      </c>
      <c r="F54" s="52" t="inlineStr">
        <is>
          <t>Fait</t>
        </is>
      </c>
      <c r="G54" s="54" t="inlineStr">
        <is>
          <t>L'annulation d'une commande peut servir (la suppression d'une commande est interdite). 25 sept : option 7, paiement d'une commande En attente dans une NpgsqlTransaction. Réponse du processeur simulée par l'utilisateur : Approuvée → capture + Payée → COMMIT; Partielle → trg_proteger_commande refuse → ROLLBACK; Refusée → ROLLBACK. État avant/après affiché.</t>
        </is>
      </c>
      <c r="H54" s="54" t="n"/>
    </row>
    <row r="55" ht="15.25" customHeight="1">
      <c r="A55" s="49" t="inlineStr">
        <is>
          <t>E5</t>
        </is>
      </c>
      <c r="B55" s="50" t="inlineStr">
        <is>
          <t>5. Application cliente</t>
        </is>
      </c>
      <c r="C55" s="49" t="n">
        <v>10</v>
      </c>
      <c r="D55" s="50" t="inlineStr">
        <is>
          <t>23 sept</t>
        </is>
      </c>
      <c r="E55" s="51" t="inlineStr">
        <is>
          <t>Appeler la fonction ou la procédure</t>
        </is>
      </c>
      <c r="F55" s="49" t="inlineStr">
        <is>
          <t>Fait</t>
        </is>
      </c>
      <c r="G55" s="51" t="inlineStr">
        <is>
          <t>25 sept : option 4, details_commande (total calculé par l'app, P0002 si inexistante) — à revoir (voir notes de suivi). Option 5, CALL avancer_commande : fiche de la commande (client, date, livraison, statut, total/payé, produits expédiés/livrés), aperçu de la prochaine étape, camion seulement pour Expédiée, confirmation o/n, NOTICE puis fiche Après.</t>
        </is>
      </c>
      <c r="H55" s="51" t="n"/>
    </row>
    <row r="56" ht="15.25" customHeight="1">
      <c r="A56" s="52" t="inlineStr">
        <is>
          <t>E5</t>
        </is>
      </c>
      <c r="B56" s="53" t="inlineStr">
        <is>
          <t>5. Application cliente</t>
        </is>
      </c>
      <c r="C56" s="52" t="n">
        <v>10</v>
      </c>
      <c r="D56" s="53" t="inlineStr">
        <is>
          <t>23 sept</t>
        </is>
      </c>
      <c r="E56" s="54" t="inlineStr">
        <is>
          <t>Gérer les erreurs sans exposer le mot de passe</t>
        </is>
      </c>
      <c r="F56" s="52" t="inlineStr">
        <is>
          <t>Fait</t>
        </is>
      </c>
      <c r="G56" s="54" t="inlineStr">
        <is>
          <t>25 sept : Erreurs.cs centralise : PostgresException → SQLSTATE + catégorie + MessageText; NpgsqlException → « impossible de joindre le serveur »; jamais la chaîne de connexion ni le mot de passe. Configuration manquante → message nommant la variable, sans sa valeur.</t>
        </is>
      </c>
      <c r="H56" s="54" t="n"/>
    </row>
    <row r="57" ht="15.25" customHeight="1">
      <c r="A57" s="55" t="inlineStr">
        <is>
          <t>E7</t>
        </is>
      </c>
      <c r="B57" s="56" t="inlineStr">
        <is>
          <t>7. Base de connaissances</t>
        </is>
      </c>
      <c r="C57" s="55" t="n">
        <v>10</v>
      </c>
      <c r="D57" s="56" t="inlineStr">
        <is>
          <t>24 sept</t>
        </is>
      </c>
      <c r="E57" s="57" t="inlineStr">
        <is>
          <t>Export CSV/JSON/JSONL : ≥ 50 unités autoportantes</t>
        </is>
      </c>
      <c r="F57" s="55" t="inlineStr">
        <is>
          <t>Fait</t>
        </is>
      </c>
      <c r="G57" s="57" t="inlineStr">
        <is>
          <t>25 sept : export/base_connaissances.jsonl généré par Vincent avec export/lancer_export.command (script écrit par Claude). 66 unités : 12 produits, 6 catégories, 12 commandes (2 par statut, les 6 statuts présents), 12 clients, 24 évaluations. Contrôlé par Claude : 66 lignes JSON valides, source_id uniques. Tranche : 2 premiers id_produit par catégorie; 2 premières commandes (id) par statut contenant un produit choisi; clients de ces commandes; 24 premières évaluations de la table. Relecture du script par Vincent à faire.</t>
        </is>
      </c>
      <c r="H57" s="57" t="n"/>
    </row>
    <row r="58" ht="15.25" customHeight="1">
      <c r="A58" s="58" t="inlineStr">
        <is>
          <t>E7</t>
        </is>
      </c>
      <c r="B58" s="59" t="inlineStr">
        <is>
          <t>7. Base de connaissances</t>
        </is>
      </c>
      <c r="C58" s="58" t="n">
        <v>10</v>
      </c>
      <c r="D58" s="59" t="inlineStr">
        <is>
          <t>24 sept</t>
        </is>
      </c>
      <c r="E58" s="60" t="inlineStr">
        <is>
          <t>Chaque unité : source_id, content, métadonnées</t>
        </is>
      </c>
      <c r="F58" s="58" t="inlineStr">
        <is>
          <t>Fait</t>
        </is>
      </c>
      <c r="G58" s="60" t="inlineStr">
        <is>
          <t>Type, date, catégorie, source. 25 sept : chaque ligne = source_id, content (texte autoportant), metadata (type, source, date / date_export, catégorie, liens *_ref). Semi-structuré : metadata.specifications (JSONB brut des produits). Non structuré : metadata.commentaire des évaluations ('aucun commentaire' si NULL : 3 cas).</t>
        </is>
      </c>
      <c r="H58" s="60" t="n"/>
    </row>
    <row r="59" ht="15.25" customHeight="1">
      <c r="A59" s="55" t="inlineStr">
        <is>
          <t>E7</t>
        </is>
      </c>
      <c r="B59" s="56" t="inlineStr">
        <is>
          <t>7. Base de connaissances</t>
        </is>
      </c>
      <c r="C59" s="55" t="n">
        <v>10</v>
      </c>
      <c r="D59" s="56" t="inlineStr">
        <is>
          <t>24 sept</t>
        </is>
      </c>
      <c r="E59" s="57" t="inlineStr">
        <is>
          <t>Vérifier : aucun secret ni renseignement personnel réel</t>
        </is>
      </c>
      <c r="F59" s="55" t="inlineStr">
        <is>
          <t>Fait</t>
        </is>
      </c>
      <c r="G59" s="57" t="inlineStr">
        <is>
          <t>25 sept : vérifié automatiquement par le script (arrêt si un @ ou un nom de client apparaît) et contrôlé par Claude. Clients = pseudonymes client-NNNN; livraison = ville seulement; ni courriel, téléphone, adresse, hash, ni colonne utilisateur de l'audit. Données entièrement fictives.</t>
        </is>
      </c>
      <c r="H59" s="57" t="n"/>
    </row>
    <row r="60" ht="15.25" customHeight="1">
      <c r="A60" s="58" t="inlineStr">
        <is>
          <t>E7</t>
        </is>
      </c>
      <c r="B60" s="59" t="inlineStr">
        <is>
          <t>7. Base de connaissances</t>
        </is>
      </c>
      <c r="C60" s="58" t="n">
        <v>10</v>
      </c>
      <c r="D60" s="59" t="inlineStr">
        <is>
          <t>24 sept</t>
        </is>
      </c>
      <c r="E60" s="60" t="inlineStr">
        <is>
          <t>Script reproductible qui régénère l'export</t>
        </is>
      </c>
      <c r="F60" s="58" t="inlineStr">
        <is>
          <t>Fait</t>
        </is>
      </c>
      <c r="G60" s="60" t="inlineStr">
        <is>
          <t>25 sept : export/export_connaissances.sql + export/lancer_export.command (psql seulement : \o + \pset, pas \copy qui abîmerait le JSON). Sélection déterministe. N'écrit pas le fichier si &lt; 50 unités ou source_id en double. ⚠ Les id des produits suivent l'ordre d'insertion de 03_donnees.sql (INSERT … SELECT … JOIN sans ORDER BY) et non l'ordre du VALUES : produit-1 = Portable Aurore Gamer X17.</t>
        </is>
      </c>
      <c r="H60" s="60" t="n"/>
    </row>
    <row r="61" ht="28.5" customHeight="1">
      <c r="A61" s="55" t="inlineStr">
        <is>
          <t>E7</t>
        </is>
      </c>
      <c r="B61" s="56" t="inlineStr">
        <is>
          <t>7. Base de connaissances</t>
        </is>
      </c>
      <c r="C61" s="55" t="n">
        <v>10</v>
      </c>
      <c r="D61" s="56" t="inlineStr">
        <is>
          <t>24 sept</t>
        </is>
      </c>
      <c r="E61" s="57" t="inlineStr">
        <is>
          <t>Fiche de données d'une page</t>
        </is>
      </c>
      <c r="F61" s="55" t="inlineStr">
        <is>
          <t>En cours</t>
        </is>
      </c>
      <c r="G61" s="57" t="inlineStr">
        <is>
          <t>Provenance, période, champs, valeurs manquantes, limites, utilisations. 25 sept : limites à inclure : échantillon (tranche), données fictives, références vers des unités absentes de l'export (24 client_ref et 10 produit_ref des évaluations, 12 produits_ref des commandes), dates relatives au jour de création de la base, 'aucun commentaire', état de la base au moment de l'export, question ouverte #3 (paiement échoué vs non complété). 25 sept : base de travail rédigée par Claude dans Doc/fiche_de_donnees_export.md (6 sections, chiffres de l'export du 25 sept) — à relire et reformuler par Vincent.</t>
        </is>
      </c>
      <c r="H61" s="57" t="n"/>
    </row>
    <row r="62" ht="28.5" customHeight="1">
      <c r="A62" s="14" t="inlineStr">
        <is>
          <t>E6</t>
        </is>
      </c>
      <c r="B62" s="15" t="inlineStr">
        <is>
          <t>6. Tests et reproductibilité</t>
        </is>
      </c>
      <c r="C62" s="14" t="n"/>
      <c r="D62" s="15" t="inlineStr">
        <is>
          <t>24 sept</t>
        </is>
      </c>
      <c r="E62" s="16" t="inlineStr">
        <is>
          <t>README.md : installation, variables d'env., création, tests, lancement</t>
        </is>
      </c>
      <c r="F62" s="14" t="inlineStr">
        <is>
          <t>En cours</t>
        </is>
      </c>
      <c r="G62" s="16" t="inlineStr">
        <is>
          <t>22 sept : README.md créé (prérequis, scripts 00-04, création, objets de l'étape 3, refresh nocturne pgAgent + cron, .pgpass). Reste : variables d'env., tests, lancement de l'app. 22 sept : section Rôles et privilèges ajoutée (mots de passe à définir à la main). 22 sept : section Transactions ajoutée. 25 sept : section 9 Tests à rédiger (1. creer_bd.command, 2. lancer_tests.command). 25 sept : section Export (étape 7) à ajouter : lancer_export.command, psql requis (ne s'exécute pas dans pgAdmin).</t>
        </is>
      </c>
      <c r="H62" s="16" t="n"/>
    </row>
    <row r="63" ht="68" customHeight="1">
      <c r="A63" s="61" t="inlineStr">
        <is>
          <t>E8</t>
        </is>
      </c>
      <c r="B63" s="62" t="inlineStr">
        <is>
          <t>8. Qualité de la remise</t>
        </is>
      </c>
      <c r="C63" s="61" t="n">
        <v>5</v>
      </c>
      <c r="D63" s="62" t="inlineStr">
        <is>
          <t>25 sept</t>
        </is>
      </c>
      <c r="E63" s="63" t="inlineStr">
        <is>
          <t>rapport.pdf complet</t>
        </is>
      </c>
      <c r="F63" s="61" t="inlineStr">
        <is>
          <t>À faire</t>
        </is>
      </c>
      <c r="G63" s="63" t="inlineStr">
        <is>
          <t>Diagramme, justifications, dictionnaire, résultats, plans, fiche de données. Relecture finale de tous les documents (dont le dictionnaire de données). Réorganiser le diagramme ER (ligne client → commande cachée derrière reception) et refaire les captures + .pgerd. 25 sept : intégrer la fiche de données de l'étape 7 (Doc/fiche_de_donnees_export.md, une page, une fois reformulée) dans rapport.pdf; en mettre aussi une copie dans export/.</t>
        </is>
      </c>
      <c r="H63" s="63" t="n"/>
    </row>
    <row r="64" ht="28.5" customHeight="1">
      <c r="A64" s="64" t="inlineStr">
        <is>
          <t>E8</t>
        </is>
      </c>
      <c r="B64" s="65" t="inlineStr">
        <is>
          <t>8. Qualité de la remise</t>
        </is>
      </c>
      <c r="C64" s="64" t="n">
        <v>5</v>
      </c>
      <c r="D64" s="65" t="inlineStr">
        <is>
          <t>25 sept</t>
        </is>
      </c>
      <c r="E64" s="66" t="inlineStr">
        <is>
          <t>IA.md : outils, prompts, portions influencées</t>
        </is>
      </c>
      <c r="F64" s="64" t="inlineStr">
        <is>
          <t>À faire</t>
        </is>
      </c>
      <c r="G64" s="66" t="inlineStr">
        <is>
          <t>≥ 2 vérifications effectuées et ≥ 1 correction apportée. À remplir au fur et à mesure.</t>
        </is>
      </c>
      <c r="H64" s="66" t="n"/>
    </row>
    <row r="65" ht="15.25" customHeight="1">
      <c r="A65" s="61" t="inlineStr">
        <is>
          <t>E8</t>
        </is>
      </c>
      <c r="B65" s="62" t="inlineStr">
        <is>
          <t>8. Qualité de la remise</t>
        </is>
      </c>
      <c r="C65" s="61" t="n">
        <v>5</v>
      </c>
      <c r="D65" s="62" t="inlineStr">
        <is>
          <t>25 sept</t>
        </is>
      </c>
      <c r="E65" s="63" t="inlineStr">
        <is>
          <t>Structure : sql/, app/, export/, diagramme/</t>
        </is>
      </c>
      <c r="F65" s="61" t="inlineStr">
        <is>
          <t>À faire</t>
        </is>
      </c>
      <c r="G65" s="63" t="inlineStr">
        <is>
          <t>Scripts SQL numérotés dans l'ordre d'exécution. 25 sept : dossier export/ créé (export_connaissances.sql, lancer_export.command, base_connaissances.jsonl). 25 sept : dossier app/ créé (squelette C#).</t>
        </is>
      </c>
      <c r="H65" s="63" t="n"/>
    </row>
    <row r="66" ht="15.25" customHeight="1">
      <c r="A66" s="64" t="inlineStr">
        <is>
          <t>E8</t>
        </is>
      </c>
      <c r="B66" s="65" t="inlineStr">
        <is>
          <t>8. Qualité de la remise</t>
        </is>
      </c>
      <c r="C66" s="64" t="n">
        <v>5</v>
      </c>
      <c r="D66" s="65" t="inlineStr">
        <is>
          <t>25 sept</t>
        </is>
      </c>
      <c r="E66" s="66" t="inlineStr">
        <is>
          <t>Vérifier : aucun mot de passe, .env, bin, obj, .venv ou cache</t>
        </is>
      </c>
      <c r="F66" s="64" t="inlineStr">
        <is>
          <t>À faire</t>
        </is>
      </c>
      <c r="G66" s="66" t="inlineStr">
        <is>
          <t>Inclut .pgpass (/Library/PostgreSQL/18/.pgpass, ~/.pgpass) : jamais dans l'archive.</t>
        </is>
      </c>
      <c r="H66" s="66" t="n"/>
    </row>
    <row r="67" ht="15.25" customHeight="1">
      <c r="A67" s="61" t="inlineStr">
        <is>
          <t>E8</t>
        </is>
      </c>
      <c r="B67" s="62" t="inlineStr">
        <is>
          <t>8. Qualité de la remise</t>
        </is>
      </c>
      <c r="C67" s="61" t="n">
        <v>5</v>
      </c>
      <c r="D67" s="62" t="inlineStr">
        <is>
          <t>25 sept</t>
        </is>
      </c>
      <c r="E67" s="63" t="inlineStr">
        <is>
          <t>Créer l'archive TP1_Vincent_Trudel.zip</t>
        </is>
      </c>
      <c r="F67" s="61" t="inlineStr">
        <is>
          <t>À faire</t>
        </is>
      </c>
      <c r="G67" s="63" t="n"/>
      <c r="H67" s="63" t="n"/>
    </row>
    <row r="68" ht="15.25" customHeight="1">
      <c r="A68" s="64" t="inlineStr">
        <is>
          <t>E8</t>
        </is>
      </c>
      <c r="B68" s="65" t="inlineStr">
        <is>
          <t>8. Qualité de la remise</t>
        </is>
      </c>
      <c r="C68" s="64" t="n">
        <v>5</v>
      </c>
      <c r="D68" s="65" t="inlineStr">
        <is>
          <t>25 sept</t>
        </is>
      </c>
      <c r="E68" s="66" t="inlineStr">
        <is>
          <t>Vérification finale : tout s'exécute depuis une base vide</t>
        </is>
      </c>
      <c r="F68" s="64" t="inlineStr">
        <is>
          <t>À faire</t>
        </is>
      </c>
      <c r="G68" s="66" t="inlineStr">
        <is>
          <t>Inclut la revalidation complète de l'application console (app/) sur la base finale : les 7 options avec demo_gestionnaire, les cas d'échec (28P01, PGPASSWORD absent, PGPORT invalide, demo_employe → 42501 sur 5-6-7), COMMIT et ROLLBACK de l'option 7, dotnet run depuis une copie propre sans bin/ ni obj/.</t>
        </is>
      </c>
      <c r="H68" s="66" t="n"/>
    </row>
    <row r="69" ht="28.5" customHeight="1">
      <c r="A69" s="18" t="inlineStr">
        <is>
          <t>E1</t>
        </is>
      </c>
      <c r="B69" s="19" t="inlineStr">
        <is>
          <t>1. Analyse et conception</t>
        </is>
      </c>
      <c r="C69" s="18" t="n">
        <v>15</v>
      </c>
      <c r="D69" s="19" t="inlineStr">
        <is>
          <t>19 sept</t>
        </is>
      </c>
      <c r="E69" s="20" t="inlineStr">
        <is>
          <t>Trancher : annulation d'une commande</t>
        </is>
      </c>
      <c r="F69" s="18" t="inlineStr">
        <is>
          <t>Fait</t>
        </is>
      </c>
      <c r="G69" s="20" t="inlineStr">
        <is>
          <t>Une commande n'est jamais supprimée, on l'annule (historique conservé). Annulable seulement depuis En attente, Payée, En préparation (critère : statut seulement). Annulée = figée (statut, champs, lignes); pas de réactivation, le client refait une commande. Stock rendu à l'annulation. ON DELETE CASCADE retiré (info_commande → commande). Branche DELETE de l'audit conservée.</t>
        </is>
      </c>
      <c r="H69" s="20" t="inlineStr">
        <is>
          <t>Règle métier – déclencheur</t>
        </is>
      </c>
    </row>
    <row r="70" ht="28.5" customHeight="1">
      <c r="A70" s="18" t="inlineStr">
        <is>
          <t>E1</t>
        </is>
      </c>
      <c r="B70" s="19" t="inlineStr">
        <is>
          <t>1. Analyse et conception</t>
        </is>
      </c>
      <c r="C70" s="18" t="n">
        <v>15</v>
      </c>
      <c r="D70" s="19" t="inlineStr">
        <is>
          <t>19 sept</t>
        </is>
      </c>
      <c r="E70" s="20" t="inlineStr">
        <is>
          <t>Trancher : bloquer paiement / expédition d'une commande annulée ?</t>
        </is>
      </c>
      <c r="F70" s="18" t="inlineStr">
        <is>
          <t>À faire</t>
        </is>
      </c>
      <c r="G70" s="20" t="inlineStr">
        <is>
          <t>Si oui pour paiement : réordonner 03_donnees.sql (il crée un paiement en attente après l'annulation). 22 sept : 03 crée maintenant le paiement AVANT l'annulation → plus de réordonnancement nécessaire si on bloque.</t>
        </is>
      </c>
      <c r="H70" s="20" t="inlineStr">
        <is>
          <t>Règle métier – déclencheur</t>
        </is>
      </c>
    </row>
  </sheetData>
  <autoFilter ref="A5:H70"/>
  <conditionalFormatting sqref="F6:F70">
    <cfRule type="cellIs" priority="2" operator="equal" dxfId="2">
      <formula>"Fait"</formula>
    </cfRule>
    <cfRule type="cellIs" priority="3" operator="equal" dxfId="1">
      <formula>"En cours"</formula>
    </cfRule>
    <cfRule type="cellIs" priority="4" operator="equal" dxfId="0">
      <formula>"À faire"</formula>
    </cfRule>
  </conditionalFormatting>
  <dataValidations count="1">
    <dataValidation sqref="F6:F70" showDropDown="0" showInputMessage="0" showErrorMessage="0" allowBlank="0" errorTitle="Statut invalide" error="Choisissez une valeur dans la liste." type="list">
      <formula1>"À faire,En cours,Fait,Sans objet"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Normal="100" workbookViewId="0">
      <selection activeCell="C9" sqref="C9"/>
    </sheetView>
  </sheetViews>
  <sheetFormatPr baseColWidth="10" defaultColWidth="8.6640625" defaultRowHeight="15"/>
  <cols>
    <col width="18" customWidth="1" min="1" max="1"/>
    <col width="70" customWidth="1" min="2" max="2"/>
    <col width="20" customWidth="1" min="3" max="4"/>
  </cols>
  <sheetData>
    <row r="1" ht="17.25" customHeight="1">
      <c r="A1" s="1" t="inlineStr">
        <is>
          <t>Calendrier cible – 17 au 25 septembre 2026</t>
        </is>
      </c>
    </row>
    <row r="2" ht="15" customHeight="1">
      <c r="A2" s="2" t="inlineStr">
        <is>
          <t>Estimations discutées. Marge : le jour gagné en combinant le 17 et le 18, plus la semaine du 28 au besoin.</t>
        </is>
      </c>
    </row>
    <row r="4" ht="15" customHeight="1">
      <c r="A4" s="3" t="inlineStr">
        <is>
          <t>Jour</t>
        </is>
      </c>
      <c r="B4" s="3" t="inlineStr">
        <is>
          <t>Objectif</t>
        </is>
      </c>
      <c r="C4" s="3" t="inlineStr">
        <is>
          <t>Estimation sans IA</t>
        </is>
      </c>
      <c r="D4" s="3" t="inlineStr">
        <is>
          <t>Estimation avec IA</t>
        </is>
      </c>
    </row>
    <row r="5" ht="26.75" customHeight="1">
      <c r="A5" s="12" t="inlineStr">
        <is>
          <t>Jeu 17 + Ven 18</t>
        </is>
      </c>
      <c r="B5" s="13" t="inlineStr">
        <is>
          <t>Étape 1 au complet : règles métier, décisions ouvertes, diagramme ERD, 3FN, dictionnaire</t>
        </is>
      </c>
      <c r="C5" s="11" t="inlineStr">
        <is>
          <t>3 h - 4 h 30</t>
        </is>
      </c>
      <c r="D5" s="11" t="inlineStr">
        <is>
          <t>2 h - 3 h</t>
        </is>
      </c>
    </row>
    <row r="6" ht="15" customHeight="1">
      <c r="A6" s="15" t="inlineStr">
        <is>
          <t>Sam 19</t>
        </is>
      </c>
      <c r="B6" s="16" t="inlineStr">
        <is>
          <t>Étape 2 : JSONB + contrainte + GIN, charger statut, 250 enregistrements</t>
        </is>
      </c>
      <c r="C6" s="14" t="inlineStr">
        <is>
          <t>2 h 30 - 3 h 30</t>
        </is>
      </c>
      <c r="D6" s="14" t="inlineStr">
        <is>
          <t>1 h 15 - 1 h 45</t>
        </is>
      </c>
    </row>
    <row r="7" ht="26.75" customHeight="1">
      <c r="A7" s="12" t="inlineStr">
        <is>
          <t>Dim 20</t>
        </is>
      </c>
      <c r="B7" s="13" t="inlineStr">
        <is>
          <t>Étape 3 : vue, vue matérialisée, fonction, procédure, audit, rôles, transactions</t>
        </is>
      </c>
      <c r="C7" s="11" t="inlineStr">
        <is>
          <t>3 h - 4 h</t>
        </is>
      </c>
      <c r="D7" s="11" t="inlineStr">
        <is>
          <t>1 h 30 - 2 h 30</t>
        </is>
      </c>
    </row>
    <row r="8" ht="15" customHeight="1">
      <c r="A8" s="15" t="inlineStr">
        <is>
          <t>Lun 21</t>
        </is>
      </c>
      <c r="B8" s="16" t="inlineStr">
        <is>
          <t>Étape 4 : les 10 requêtes</t>
        </is>
      </c>
      <c r="C8" s="14" t="inlineStr">
        <is>
          <t>2 h 30 - 3 h 30</t>
        </is>
      </c>
      <c r="D8" s="14" t="inlineStr">
        <is>
          <t>1 h 30 - 2 h</t>
        </is>
      </c>
    </row>
    <row r="9" ht="15" customHeight="1">
      <c r="A9" s="12" t="inlineStr">
        <is>
          <t>Mar 22</t>
        </is>
      </c>
      <c r="B9" s="13" t="inlineStr">
        <is>
          <t>Étape 4 : index + EXPLAIN ANALYZE · Étape 6 : tests</t>
        </is>
      </c>
      <c r="C9" s="11" t="inlineStr">
        <is>
          <t>à estimer</t>
        </is>
      </c>
      <c r="D9" s="11" t="inlineStr">
        <is>
          <t>à estimer</t>
        </is>
      </c>
    </row>
    <row r="10" ht="15" customHeight="1">
      <c r="A10" s="15" t="inlineStr">
        <is>
          <t>Mer 23</t>
        </is>
      </c>
      <c r="B10" s="16" t="inlineStr">
        <is>
          <t>Étape 5 : application cliente</t>
        </is>
      </c>
      <c r="C10" s="14" t="inlineStr">
        <is>
          <t>à estimer</t>
        </is>
      </c>
      <c r="D10" s="14" t="inlineStr">
        <is>
          <t>à estimer</t>
        </is>
      </c>
    </row>
    <row r="11" ht="15" customHeight="1">
      <c r="A11" s="12" t="inlineStr">
        <is>
          <t>Jeu 24</t>
        </is>
      </c>
      <c r="B11" s="13" t="inlineStr">
        <is>
          <t>Étape 7 : export + fiche de données · README</t>
        </is>
      </c>
      <c r="C11" s="11" t="inlineStr">
        <is>
          <t>à estimer</t>
        </is>
      </c>
      <c r="D11" s="11" t="inlineStr">
        <is>
          <t>à estimer</t>
        </is>
      </c>
    </row>
    <row r="12" ht="15" customHeight="1">
      <c r="A12" s="15" t="inlineStr">
        <is>
          <t>Ven 25</t>
        </is>
      </c>
      <c r="B12" s="16" t="inlineStr">
        <is>
          <t>Étape 8 : rapport.pdf, IA.md, archive, vérification finale</t>
        </is>
      </c>
      <c r="C12" s="14" t="inlineStr">
        <is>
          <t>à estimer</t>
        </is>
      </c>
      <c r="D12" s="14" t="inlineStr">
        <is>
          <t>à estimer</t>
        </is>
      </c>
    </row>
    <row r="14" ht="15" customHeight="1">
      <c r="A14" s="17" t="inlineStr">
        <is>
          <t>Total des 4 premiers blocs : 11 h - 15 h 30 sans IA, 6 h 30 - 9 h 30 avec l'aide de l'IA pour le code.</t>
        </is>
      </c>
    </row>
    <row r="15" ht="15" customHeight="1">
      <c r="A15" s="2" t="inlineStr">
        <is>
          <t>Rappel : l'énoncé annonce ~10 h pour le TP complet, ce qui est optimiste. Prévoir plutôt 20 à 25 h au total.</t>
        </is>
      </c>
    </row>
    <row r="16" ht="15" customHeight="1">
      <c r="A16" s="2" t="inlineStr">
        <is>
          <t>La part irréductible est la vérification : l'énoncé exige de pouvoir expliquer, tester et modifier chaque élément remis en direct.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2026-09-18T13:13:10Z</dcterms:created>
  <dcterms:modified xmlns:dcterms="http://purl.org/dc/terms/" xmlns:xsi="http://www.w3.org/2001/XMLSchema-instance" xsi:type="dcterms:W3CDTF">2026-09-25T18:12:39Z</dcterms:modified>
  <cp:lastModifiedBy>Vincent Trudel</cp:lastModifiedBy>
  <cp:revision>0</cp:revision>
</cp:coreProperties>
</file>